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book" sheetId="1" state="visible" r:id="rId3"/>
    <sheet name="Sample Environm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<sst xmlns="http://schemas.openxmlformats.org/spreadsheetml/2006/main" count="895" uniqueCount="709">
  <si>
    <t xml:space="preserve">Convert to script</t>
  </si>
  <si>
    <t xml:space="preserve">Series date</t>
  </si>
  <si>
    <t xml:space="preserve">Proposal number</t>
  </si>
  <si>
    <t xml:space="preserve">Sample ID</t>
  </si>
  <si>
    <t xml:space="preserve">Instrument Operator</t>
  </si>
  <si>
    <t xml:space="preserve">batch number</t>
  </si>
  <si>
    <t xml:space="preserve">Instr. Background Date</t>
  </si>
  <si>
    <t xml:space="preserve">Instr. Background Batch number</t>
  </si>
  <si>
    <t xml:space="preserve">Disp. Background Date</t>
  </si>
  <si>
    <t xml:space="preserve">Disp. Background File number</t>
  </si>
  <si>
    <t xml:space="preserve">Displaced Volume Correction</t>
  </si>
  <si>
    <t xml:space="preserve">Sample thickness</t>
  </si>
  <si>
    <t xml:space="preserve">Sample pos</t>
  </si>
  <si>
    <t xml:space="preserve">Measurement Protocol</t>
  </si>
  <si>
    <t xml:space="preserve">Processing pipeline file</t>
  </si>
  <si>
    <t xml:space="preserve">Notes</t>
  </si>
  <si>
    <t xml:space="preserve">Est. Measurement time</t>
  </si>
  <si>
    <t xml:space="preserve">END OF FIXED SECTION</t>
  </si>
  <si>
    <t xml:space="preserve">Protocol keyword-value combination 1</t>
  </si>
  <si>
    <t xml:space="preserve">Protocol keyword-value combination 2</t>
  </si>
  <si>
    <t xml:space="preserve">set True for every measurement to measure</t>
  </si>
  <si>
    <t xml:space="preserve">For multi-day measurements, date of first day</t>
  </si>
  <si>
    <t xml:space="preserve">required field. Fill in proposal first</t>
  </si>
  <si>
    <t xml:space="preserve">samplenumber in the proposal</t>
  </si>
  <si>
    <t xml:space="preserve">BAM username</t>
  </si>
  <si>
    <t xml:space="preserve">sequence number of file</t>
  </si>
  <si>
    <t xml:space="preserve">Date that the background was recorded</t>
  </si>
  <si>
    <t xml:space="preserve">Starting file number that identifies the background to be subtracted</t>
  </si>
  <si>
    <t xml:space="preserve">Date that the dispersant background was recorded (optional)</t>
  </si>
  <si>
    <t xml:space="preserve">Starting file number that identifies the dispersant background to be subtracted</t>
  </si>
  <si>
    <t xml:space="preserve">Correction factor for the displaced volume correction (DV). Enter matrix vol. fraction: has to be between 1 and 0, default 1. </t>
  </si>
  <si>
    <t xml:space="preserve">sample thickness in meters, if not using x-ray absorption to estimate</t>
  </si>
  <si>
    <t xml:space="preserve">The measurement prorocol to execute. This takes key-value arguments of all the columns in the logbook. </t>
  </si>
  <si>
    <t xml:space="preserve">Path to the processing pipeline (beta)</t>
  </si>
  <si>
    <t xml:space="preserve">estimated measurement time for this protocol in seconds. Used only for duration estimation</t>
  </si>
  <si>
    <t xml:space="preserve">for protocol-specific key-value combinations, e.g. "temperature_setpoint"</t>
  </si>
  <si>
    <t xml:space="preserve">for protocol-specific key-value combinations, e.g. "85"</t>
  </si>
  <si>
    <t xml:space="preserve">converttoscript</t>
  </si>
  <si>
    <t xml:space="preserve">date</t>
  </si>
  <si>
    <t xml:space="preserve">Proposal</t>
  </si>
  <si>
    <t xml:space="preserve">sampleid</t>
  </si>
  <si>
    <t xml:space="preserve">User</t>
  </si>
  <si>
    <t xml:space="preserve">batchnum</t>
  </si>
  <si>
    <t xml:space="preserve">bgdate</t>
  </si>
  <si>
    <t xml:space="preserve">bgnumber</t>
  </si>
  <si>
    <t xml:space="preserve">dbgdate</t>
  </si>
  <si>
    <t xml:space="preserve">dbgnumber</t>
  </si>
  <si>
    <t xml:space="preserve">matrixfraction</t>
  </si>
  <si>
    <t xml:space="preserve">samplethickness</t>
  </si>
  <si>
    <t xml:space="preserve">sampos</t>
  </si>
  <si>
    <t xml:space="preserve">protocol</t>
  </si>
  <si>
    <t xml:space="preserve">procpipeline</t>
  </si>
  <si>
    <t xml:space="preserve">notes</t>
  </si>
  <si>
    <t xml:space="preserve">key1</t>
  </si>
  <si>
    <t xml:space="preserve">val1</t>
  </si>
  <si>
    <t xml:space="preserve">key2</t>
  </si>
  <si>
    <t xml:space="preserve">val2</t>
  </si>
  <si>
    <t xml:space="preserve">key3</t>
  </si>
  <si>
    <t xml:space="preserve">val3</t>
  </si>
  <si>
    <t xml:space="preserve">key4</t>
  </si>
  <si>
    <t xml:space="preserve">val4</t>
  </si>
  <si>
    <t xml:space="preserve">testuser</t>
  </si>
  <si>
    <t xml:space="preserve">Cu B16 20251219</t>
  </si>
  <si>
    <t xml:space="preserve">measure_once</t>
  </si>
  <si>
    <t xml:space="preserve">20251010_nobg_logq.nxs</t>
  </si>
  <si>
    <t xml:space="preserve">double tape</t>
  </si>
  <si>
    <t xml:space="preserve">config_id</t>
  </si>
  <si>
    <t xml:space="preserve">Cu B1 20251219</t>
  </si>
  <si>
    <t xml:space="preserve">20251010_standard_logq.nxs</t>
  </si>
  <si>
    <t xml:space="preserve">Cu B2 20251219</t>
  </si>
  <si>
    <t xml:space="preserve">Cu B3 20251219</t>
  </si>
  <si>
    <t xml:space="preserve">Cu B4 20251219</t>
  </si>
  <si>
    <t xml:space="preserve">Cu B5 20251219</t>
  </si>
  <si>
    <t xml:space="preserve">Cu B6 20251219</t>
  </si>
  <si>
    <t xml:space="preserve">Cu B7 20251219</t>
  </si>
  <si>
    <t xml:space="preserve">Cu B8 20251219</t>
  </si>
  <si>
    <t xml:space="preserve">Cu B9 20251219</t>
  </si>
  <si>
    <t xml:space="preserve">Cu B10 20251219</t>
  </si>
  <si>
    <t xml:space="preserve">Cu B11 20251219</t>
  </si>
  <si>
    <t xml:space="preserve">Cu B12 20251219</t>
  </si>
  <si>
    <t xml:space="preserve">Cu B13 20251219</t>
  </si>
  <si>
    <t xml:space="preserve">Cu B14 20251219</t>
  </si>
  <si>
    <t xml:space="preserve">Cu C16 20251219</t>
  </si>
  <si>
    <t xml:space="preserve">standard_measurements</t>
  </si>
  <si>
    <t xml:space="preserve">Cu C2 20251219</t>
  </si>
  <si>
    <t xml:space="preserve">Cu C3 20251219</t>
  </si>
  <si>
    <t xml:space="preserve">Cu C4 20251219</t>
  </si>
  <si>
    <t xml:space="preserve">Cu C5 20251219</t>
  </si>
  <si>
    <t xml:space="preserve">Cu C6 20251219</t>
  </si>
  <si>
    <t xml:space="preserve">Cu C7 20251219</t>
  </si>
  <si>
    <t xml:space="preserve">Cu C8 20251219</t>
  </si>
  <si>
    <t xml:space="preserve">Cu C10 20251219</t>
  </si>
  <si>
    <t xml:space="preserve">Cu C11 20251219</t>
  </si>
  <si>
    <t xml:space="preserve">Cu C12 20251219</t>
  </si>
  <si>
    <t xml:space="preserve">__json__</t>
  </si>
  <si>
    <t xml:space="preserve">{"configs":[123,125,127],"repeats":[1, 3, 7],"collate":"FORBID"}</t>
  </si>
  <si>
    <t xml:space="preserve">Cu C13 20251219</t>
  </si>
  <si>
    <t xml:space="preserve">{"configs":[123,125,127],"repeats":[1, 3, 7],"collate":"ALLOW"}</t>
  </si>
  <si>
    <t xml:space="preserve">Cu C14 20251219</t>
  </si>
  <si>
    <t xml:space="preserve">xsam</t>
  </si>
  <si>
    <t xml:space="preserve">ysam</t>
  </si>
  <si>
    <t xml:space="preserve">zsam</t>
  </si>
  <si>
    <t xml:space="preserve">ysam.blank</t>
  </si>
  <si>
    <t xml:space="preserve">zsam.blank</t>
  </si>
  <si>
    <t xml:space="preserve">zheavy</t>
  </si>
  <si>
    <t xml:space="preserve">yawgi</t>
  </si>
  <si>
    <t xml:space="preserve">rollgi</t>
  </si>
  <si>
    <t xml:space="preserve">pitchgi</t>
  </si>
  <si>
    <t xml:space="preserve">offset</t>
  </si>
  <si>
    <t xml:space="preserve">explanation y-equation: =reference_y+(distance_from_reference*calibration_factor)+y_offset</t>
  </si>
  <si>
    <t xml:space="preserve">equation explanation z: =reference_position+offset+(difference in y between reference and y pos)*tilt_factor</t>
  </si>
  <si>
    <t xml:space="preserve">y_factor</t>
  </si>
  <si>
    <t xml:space="preserve">Top</t>
  </si>
  <si>
    <t xml:space="preserve">Cu A1</t>
  </si>
  <si>
    <t xml:space="preserve">Cu A2</t>
  </si>
  <si>
    <t xml:space="preserve">Cu A3</t>
  </si>
  <si>
    <t xml:space="preserve">Cu A4</t>
  </si>
  <si>
    <t xml:space="preserve">Cu A5</t>
  </si>
  <si>
    <t xml:space="preserve">Cu A6</t>
  </si>
  <si>
    <t xml:space="preserve">Cu A7</t>
  </si>
  <si>
    <t xml:space="preserve">Cu A8</t>
  </si>
  <si>
    <t xml:space="preserve">Cu A9</t>
  </si>
  <si>
    <t xml:space="preserve">Cu A10</t>
  </si>
  <si>
    <t xml:space="preserve">Cu A11</t>
  </si>
  <si>
    <t xml:space="preserve">Cu A12</t>
  </si>
  <si>
    <t xml:space="preserve">Cu A13</t>
  </si>
  <si>
    <t xml:space="preserve">Cu A14</t>
  </si>
  <si>
    <t xml:space="preserve">Cu A15</t>
  </si>
  <si>
    <t xml:space="preserve">Cu A16</t>
  </si>
  <si>
    <t xml:space="preserve">Cu Cap A</t>
  </si>
  <si>
    <t xml:space="preserve">Cu LN A</t>
  </si>
  <si>
    <t xml:space="preserve">Middle</t>
  </si>
  <si>
    <t xml:space="preserve">Cu B1</t>
  </si>
  <si>
    <t xml:space="preserve">Cu B2</t>
  </si>
  <si>
    <t xml:space="preserve">Cu B3</t>
  </si>
  <si>
    <t xml:space="preserve">Cu B4</t>
  </si>
  <si>
    <t xml:space="preserve">Cu B5</t>
  </si>
  <si>
    <t xml:space="preserve">Cu B6</t>
  </si>
  <si>
    <t xml:space="preserve">Cu B7</t>
  </si>
  <si>
    <t xml:space="preserve">Cu B8</t>
  </si>
  <si>
    <t xml:space="preserve">Cu B9</t>
  </si>
  <si>
    <t xml:space="preserve">Cu B10</t>
  </si>
  <si>
    <t xml:space="preserve">Cu B11</t>
  </si>
  <si>
    <t xml:space="preserve">Cu B12</t>
  </si>
  <si>
    <t xml:space="preserve">Cu B13</t>
  </si>
  <si>
    <t xml:space="preserve">Cu B14</t>
  </si>
  <si>
    <t xml:space="preserve">Cu B15</t>
  </si>
  <si>
    <t xml:space="preserve">Cu B16</t>
  </si>
  <si>
    <t xml:space="preserve">Cu Cap B</t>
  </si>
  <si>
    <t xml:space="preserve">Cu LN B</t>
  </si>
  <si>
    <t xml:space="preserve">Bottom</t>
  </si>
  <si>
    <t xml:space="preserve">Cu C1</t>
  </si>
  <si>
    <t xml:space="preserve">Cu C2</t>
  </si>
  <si>
    <t xml:space="preserve">Cu C3</t>
  </si>
  <si>
    <t xml:space="preserve">Cu C4</t>
  </si>
  <si>
    <t xml:space="preserve">Cu C5</t>
  </si>
  <si>
    <t xml:space="preserve">Cu C6</t>
  </si>
  <si>
    <t xml:space="preserve">Cu C7</t>
  </si>
  <si>
    <t xml:space="preserve">Cu C8</t>
  </si>
  <si>
    <t xml:space="preserve">Cu C9</t>
  </si>
  <si>
    <t xml:space="preserve">Cu C10</t>
  </si>
  <si>
    <t xml:space="preserve">Cu C11</t>
  </si>
  <si>
    <t xml:space="preserve">Cu C12</t>
  </si>
  <si>
    <t xml:space="preserve">Cu C13</t>
  </si>
  <si>
    <t xml:space="preserve">Cu C14</t>
  </si>
  <si>
    <t xml:space="preserve">Cu C15</t>
  </si>
  <si>
    <t xml:space="preserve">Cu C16</t>
  </si>
  <si>
    <t xml:space="preserve">Cu Cap C</t>
  </si>
  <si>
    <t xml:space="preserve">Cu LN C</t>
  </si>
  <si>
    <t xml:space="preserve">Cu Blank</t>
  </si>
  <si>
    <t xml:space="preserve">Solid 48</t>
  </si>
  <si>
    <t xml:space="preserve">Cu New Cap</t>
  </si>
  <si>
    <t xml:space="preserve">x_offset</t>
  </si>
  <si>
    <t xml:space="preserve">y_center</t>
  </si>
  <si>
    <t xml:space="preserve">z_center</t>
  </si>
  <si>
    <t xml:space="preserve">Blank y</t>
  </si>
  <si>
    <t xml:space="preserve">Blank z</t>
  </si>
  <si>
    <t xml:space="preserve">Mo A1</t>
  </si>
  <si>
    <t xml:space="preserve">Mo A2</t>
  </si>
  <si>
    <t xml:space="preserve">Mo A3</t>
  </si>
  <si>
    <t xml:space="preserve">Mo A4</t>
  </si>
  <si>
    <t xml:space="preserve">Mo A5</t>
  </si>
  <si>
    <t xml:space="preserve">Mo A6</t>
  </si>
  <si>
    <t xml:space="preserve">Mo A7</t>
  </si>
  <si>
    <t xml:space="preserve">Mo A8</t>
  </si>
  <si>
    <t xml:space="preserve">Mo A9</t>
  </si>
  <si>
    <t xml:space="preserve">Mo A10</t>
  </si>
  <si>
    <t xml:space="preserve">Mo A11</t>
  </si>
  <si>
    <t xml:space="preserve">Mo A12</t>
  </si>
  <si>
    <t xml:space="preserve">Mo A13</t>
  </si>
  <si>
    <t xml:space="preserve">Mo A14</t>
  </si>
  <si>
    <t xml:space="preserve">Mo A15</t>
  </si>
  <si>
    <t xml:space="preserve">Mo A16</t>
  </si>
  <si>
    <t xml:space="preserve">Mo Cap A</t>
  </si>
  <si>
    <t xml:space="preserve">Mo LN A</t>
  </si>
  <si>
    <t xml:space="preserve">Mo B1</t>
  </si>
  <si>
    <t xml:space="preserve">Mo B2</t>
  </si>
  <si>
    <t xml:space="preserve">Mo B3</t>
  </si>
  <si>
    <t xml:space="preserve">Mo B4</t>
  </si>
  <si>
    <t xml:space="preserve">Mo B5</t>
  </si>
  <si>
    <t xml:space="preserve">Mo B6</t>
  </si>
  <si>
    <t xml:space="preserve">Mo B7</t>
  </si>
  <si>
    <t xml:space="preserve">Mo B8</t>
  </si>
  <si>
    <t xml:space="preserve">Mo B9</t>
  </si>
  <si>
    <t xml:space="preserve">Mo B10</t>
  </si>
  <si>
    <t xml:space="preserve">Mo B11</t>
  </si>
  <si>
    <t xml:space="preserve">Mo B12</t>
  </si>
  <si>
    <t xml:space="preserve">Mo B13</t>
  </si>
  <si>
    <t xml:space="preserve">Mo B14</t>
  </si>
  <si>
    <t xml:space="preserve">Mo B15</t>
  </si>
  <si>
    <t xml:space="preserve">Mo B16</t>
  </si>
  <si>
    <t xml:space="preserve">Mo Cap B</t>
  </si>
  <si>
    <t xml:space="preserve">Mo LN B</t>
  </si>
  <si>
    <t xml:space="preserve">Mo C1</t>
  </si>
  <si>
    <t xml:space="preserve">Mo C2</t>
  </si>
  <si>
    <t xml:space="preserve">Mo C3</t>
  </si>
  <si>
    <t xml:space="preserve">Mo C4</t>
  </si>
  <si>
    <t xml:space="preserve">Mo C5</t>
  </si>
  <si>
    <t xml:space="preserve">Mo C6</t>
  </si>
  <si>
    <t xml:space="preserve">Mo C7</t>
  </si>
  <si>
    <t xml:space="preserve">Mo C8</t>
  </si>
  <si>
    <t xml:space="preserve">Mo C9</t>
  </si>
  <si>
    <t xml:space="preserve">Mo C10</t>
  </si>
  <si>
    <t xml:space="preserve">Mo C11</t>
  </si>
  <si>
    <t xml:space="preserve">Mo C12</t>
  </si>
  <si>
    <t xml:space="preserve">Mo C13</t>
  </si>
  <si>
    <t xml:space="preserve">Mo C14</t>
  </si>
  <si>
    <t xml:space="preserve">Mo C15</t>
  </si>
  <si>
    <t xml:space="preserve">Mo C16</t>
  </si>
  <si>
    <t xml:space="preserve">Mo Cap C</t>
  </si>
  <si>
    <t xml:space="preserve">Mo LN C</t>
  </si>
  <si>
    <t xml:space="preserve">Mo Blank</t>
  </si>
  <si>
    <t xml:space="preserve">Cu Heat A</t>
  </si>
  <si>
    <t xml:space="preserve">Cu Heat B</t>
  </si>
  <si>
    <t xml:space="preserve">Cu Heat C</t>
  </si>
  <si>
    <t xml:space="preserve">Cu Heat Blank</t>
  </si>
  <si>
    <t xml:space="preserve">GI test case</t>
  </si>
  <si>
    <t xml:space="preserve">NEW X CALIBRATION AFTER POWER OUTAGE 20251023</t>
  </si>
  <si>
    <t xml:space="preserve">Cu A1 20251219</t>
  </si>
  <si>
    <t xml:space="preserve">Cu A2 20251219</t>
  </si>
  <si>
    <t xml:space="preserve">Cu A3 20251219</t>
  </si>
  <si>
    <t xml:space="preserve">Cu A4 20251219</t>
  </si>
  <si>
    <t xml:space="preserve">Cu A5 20251219</t>
  </si>
  <si>
    <t xml:space="preserve">Cu A6 20251219</t>
  </si>
  <si>
    <t xml:space="preserve">Cu A7 20251219</t>
  </si>
  <si>
    <t xml:space="preserve">Cu A8 20251219</t>
  </si>
  <si>
    <t xml:space="preserve">Cu A9 20251219</t>
  </si>
  <si>
    <t xml:space="preserve">Cu A10 20251219</t>
  </si>
  <si>
    <t xml:space="preserve">Cu A11 20251219</t>
  </si>
  <si>
    <t xml:space="preserve">Cu A12 20251219</t>
  </si>
  <si>
    <t xml:space="preserve">Cu A13 20251219</t>
  </si>
  <si>
    <t xml:space="preserve">Cu A14 20251219</t>
  </si>
  <si>
    <t xml:space="preserve">Cu A15 20251219</t>
  </si>
  <si>
    <t xml:space="preserve">Cu A16 20251219</t>
  </si>
  <si>
    <t xml:space="preserve">Cu Cap A 20251219</t>
  </si>
  <si>
    <t xml:space="preserve">Cu LN A  20251219</t>
  </si>
  <si>
    <t xml:space="preserve">Cu B15 20251219</t>
  </si>
  <si>
    <t xml:space="preserve">Cu Cap B 20251219</t>
  </si>
  <si>
    <t xml:space="preserve">Cu LN B 20251219</t>
  </si>
  <si>
    <t xml:space="preserve">Cu C1 20251219</t>
  </si>
  <si>
    <t xml:space="preserve">Cu C9 20251219</t>
  </si>
  <si>
    <t xml:space="preserve">Cu C15 20251219</t>
  </si>
  <si>
    <t xml:space="preserve">Cu Cap C 20251219</t>
  </si>
  <si>
    <t xml:space="preserve">Cu LN C 20251219</t>
  </si>
  <si>
    <t xml:space="preserve">Cu Blank 20251219</t>
  </si>
  <si>
    <t xml:space="preserve">Cu New Cap 20251219</t>
  </si>
  <si>
    <t xml:space="preserve">Cu Cap C Blank 20251219</t>
  </si>
  <si>
    <t xml:space="preserve">Mo A1 20251219</t>
  </si>
  <si>
    <t xml:space="preserve">Mo A2 20251219</t>
  </si>
  <si>
    <t xml:space="preserve">Mo A3 20251219</t>
  </si>
  <si>
    <t xml:space="preserve">Mo A4 20251219</t>
  </si>
  <si>
    <t xml:space="preserve">Mo A5 20251219</t>
  </si>
  <si>
    <t xml:space="preserve">Mo A6 20251219</t>
  </si>
  <si>
    <t xml:space="preserve">Mo A7 20251219</t>
  </si>
  <si>
    <t xml:space="preserve">Mo A8 20251219</t>
  </si>
  <si>
    <t xml:space="preserve">Mo A9 20251219</t>
  </si>
  <si>
    <t xml:space="preserve">Mo A10 20251219</t>
  </si>
  <si>
    <t xml:space="preserve">Mo A11 20251219</t>
  </si>
  <si>
    <t xml:space="preserve">Mo A12 20251219</t>
  </si>
  <si>
    <t xml:space="preserve">Mo A13 20251219</t>
  </si>
  <si>
    <t xml:space="preserve">Mo A14 20251219</t>
  </si>
  <si>
    <t xml:space="preserve">Mo A15 20251219</t>
  </si>
  <si>
    <t xml:space="preserve">Mo A16 20251219</t>
  </si>
  <si>
    <t xml:space="preserve">Mo Cap A 20251219</t>
  </si>
  <si>
    <t xml:space="preserve">Mo LN A 20251219</t>
  </si>
  <si>
    <t xml:space="preserve">Mo B1 20251219</t>
  </si>
  <si>
    <t xml:space="preserve">Mo B2 20251219</t>
  </si>
  <si>
    <t xml:space="preserve">Mo B3 20251219</t>
  </si>
  <si>
    <t xml:space="preserve">Mo B4 20251219</t>
  </si>
  <si>
    <t xml:space="preserve">Mo B5 20251219</t>
  </si>
  <si>
    <t xml:space="preserve">Mo B6 20251219</t>
  </si>
  <si>
    <t xml:space="preserve">Mo B7 20251219</t>
  </si>
  <si>
    <t xml:space="preserve">Mo B8 20251219</t>
  </si>
  <si>
    <t xml:space="preserve">Mo B9 20251219</t>
  </si>
  <si>
    <t xml:space="preserve">Mo B10 20251219</t>
  </si>
  <si>
    <t xml:space="preserve">Mo B11 20251219</t>
  </si>
  <si>
    <t xml:space="preserve">Mo B12 20251219</t>
  </si>
  <si>
    <t xml:space="preserve">Mo B13 20251219</t>
  </si>
  <si>
    <t xml:space="preserve">Mo B14 20251219</t>
  </si>
  <si>
    <t xml:space="preserve">Mo B15 20251219</t>
  </si>
  <si>
    <t xml:space="preserve">Mo B16 20251219</t>
  </si>
  <si>
    <t xml:space="preserve">Mo Cap B 20251219</t>
  </si>
  <si>
    <t xml:space="preserve">Mo LN B 20251219</t>
  </si>
  <si>
    <t xml:space="preserve">Mo C1 20251219</t>
  </si>
  <si>
    <t xml:space="preserve">Mo C2 20251219</t>
  </si>
  <si>
    <t xml:space="preserve">Mo C3 20251219</t>
  </si>
  <si>
    <t xml:space="preserve">Mo C4 20251219</t>
  </si>
  <si>
    <t xml:space="preserve">Mo C5 20251219</t>
  </si>
  <si>
    <t xml:space="preserve">Mo C6 20251219</t>
  </si>
  <si>
    <t xml:space="preserve">Mo C7 20251219</t>
  </si>
  <si>
    <t xml:space="preserve">Mo C8 20251219</t>
  </si>
  <si>
    <t xml:space="preserve">Mo C9 20251219</t>
  </si>
  <si>
    <t xml:space="preserve">Mo C10 20251219</t>
  </si>
  <si>
    <t xml:space="preserve">Mo C11 20251219</t>
  </si>
  <si>
    <t xml:space="preserve">Mo C12 20251219</t>
  </si>
  <si>
    <t xml:space="preserve">Mo C13 20251219</t>
  </si>
  <si>
    <t xml:space="preserve">Mo C14 20251219</t>
  </si>
  <si>
    <t xml:space="preserve">Mo C15 20251219</t>
  </si>
  <si>
    <t xml:space="preserve">Mo C16 20251219</t>
  </si>
  <si>
    <t xml:space="preserve">Mo Cap C 20251219</t>
  </si>
  <si>
    <t xml:space="preserve">Mo LN C 20251219</t>
  </si>
  <si>
    <t xml:space="preserve">Mo Blank 20251219</t>
  </si>
  <si>
    <t xml:space="preserve">Map A A1</t>
  </si>
  <si>
    <t xml:space="preserve">Map A A2</t>
  </si>
  <si>
    <t xml:space="preserve">Map A A3</t>
  </si>
  <si>
    <t xml:space="preserve">Map A A4</t>
  </si>
  <si>
    <t xml:space="preserve">Map A A5</t>
  </si>
  <si>
    <t xml:space="preserve">Map A A6</t>
  </si>
  <si>
    <t xml:space="preserve">Map A A7</t>
  </si>
  <si>
    <t xml:space="preserve">Map A A8</t>
  </si>
  <si>
    <t xml:space="preserve">Map A A9</t>
  </si>
  <si>
    <t xml:space="preserve">Map A A10</t>
  </si>
  <si>
    <t xml:space="preserve">Map A B1</t>
  </si>
  <si>
    <t xml:space="preserve">Map A B2</t>
  </si>
  <si>
    <t xml:space="preserve">Map A B3</t>
  </si>
  <si>
    <t xml:space="preserve">Map A B4</t>
  </si>
  <si>
    <t xml:space="preserve">Map A B5</t>
  </si>
  <si>
    <t xml:space="preserve">Map A B6</t>
  </si>
  <si>
    <t xml:space="preserve">Map A B7</t>
  </si>
  <si>
    <t xml:space="preserve">Map A B8</t>
  </si>
  <si>
    <t xml:space="preserve">Map A B9</t>
  </si>
  <si>
    <t xml:space="preserve">Map A B10</t>
  </si>
  <si>
    <t xml:space="preserve">Map A C1</t>
  </si>
  <si>
    <t xml:space="preserve">Map A C2</t>
  </si>
  <si>
    <t xml:space="preserve">Map A C3</t>
  </si>
  <si>
    <t xml:space="preserve">Map A C4</t>
  </si>
  <si>
    <t xml:space="preserve">Map A C5</t>
  </si>
  <si>
    <t xml:space="preserve">Map A C6</t>
  </si>
  <si>
    <t xml:space="preserve">Map A C7</t>
  </si>
  <si>
    <t xml:space="preserve">Map A C8</t>
  </si>
  <si>
    <t xml:space="preserve">Map A C9</t>
  </si>
  <si>
    <t xml:space="preserve">Map A C10</t>
  </si>
  <si>
    <t xml:space="preserve">Map A D1</t>
  </si>
  <si>
    <t xml:space="preserve">Map A D2</t>
  </si>
  <si>
    <t xml:space="preserve">Map A D3</t>
  </si>
  <si>
    <t xml:space="preserve">Map A D4</t>
  </si>
  <si>
    <t xml:space="preserve">Map A D5</t>
  </si>
  <si>
    <t xml:space="preserve">Map A D6</t>
  </si>
  <si>
    <t xml:space="preserve">Map A D7</t>
  </si>
  <si>
    <t xml:space="preserve">Map A D8</t>
  </si>
  <si>
    <t xml:space="preserve">Map A D9</t>
  </si>
  <si>
    <t xml:space="preserve">Map A D10</t>
  </si>
  <si>
    <t xml:space="preserve">Map A E1</t>
  </si>
  <si>
    <t xml:space="preserve">Map A E2</t>
  </si>
  <si>
    <t xml:space="preserve">Map A E3</t>
  </si>
  <si>
    <t xml:space="preserve">Map A E4</t>
  </si>
  <si>
    <t xml:space="preserve">Map A E5</t>
  </si>
  <si>
    <t xml:space="preserve">Map A E6</t>
  </si>
  <si>
    <t xml:space="preserve">Map A E7</t>
  </si>
  <si>
    <t xml:space="preserve">Map A E8</t>
  </si>
  <si>
    <t xml:space="preserve">Map A E9</t>
  </si>
  <si>
    <t xml:space="preserve">Map A E10</t>
  </si>
  <si>
    <t xml:space="preserve">Map A F1</t>
  </si>
  <si>
    <t xml:space="preserve">Map A F2</t>
  </si>
  <si>
    <t xml:space="preserve">Map A F3</t>
  </si>
  <si>
    <t xml:space="preserve">Map A F4</t>
  </si>
  <si>
    <t xml:space="preserve">Map A F5</t>
  </si>
  <si>
    <t xml:space="preserve">Map A F6</t>
  </si>
  <si>
    <t xml:space="preserve">Map A F7</t>
  </si>
  <si>
    <t xml:space="preserve">Map A F8</t>
  </si>
  <si>
    <t xml:space="preserve">Map A F9</t>
  </si>
  <si>
    <t xml:space="preserve">Map A F10</t>
  </si>
  <si>
    <t xml:space="preserve">Map A G1</t>
  </si>
  <si>
    <t xml:space="preserve">Map A G2</t>
  </si>
  <si>
    <t xml:space="preserve">Map A G3</t>
  </si>
  <si>
    <t xml:space="preserve">Map A G4</t>
  </si>
  <si>
    <t xml:space="preserve">Map A G5</t>
  </si>
  <si>
    <t xml:space="preserve">Map A G6</t>
  </si>
  <si>
    <t xml:space="preserve">Map A G7</t>
  </si>
  <si>
    <t xml:space="preserve">Map A G8</t>
  </si>
  <si>
    <t xml:space="preserve">Map A G9</t>
  </si>
  <si>
    <t xml:space="preserve">Map A G10</t>
  </si>
  <si>
    <t xml:space="preserve">Map A H1</t>
  </si>
  <si>
    <t xml:space="preserve">Map A H2</t>
  </si>
  <si>
    <t xml:space="preserve">Map A H3</t>
  </si>
  <si>
    <t xml:space="preserve">Map A H4</t>
  </si>
  <si>
    <t xml:space="preserve">Map A H5</t>
  </si>
  <si>
    <t xml:space="preserve">Map A H6</t>
  </si>
  <si>
    <t xml:space="preserve">Map A H7</t>
  </si>
  <si>
    <t xml:space="preserve">Map A H8</t>
  </si>
  <si>
    <t xml:space="preserve">Map A H9</t>
  </si>
  <si>
    <t xml:space="preserve">Map A H10</t>
  </si>
  <si>
    <t xml:space="preserve">Map A I1</t>
  </si>
  <si>
    <t xml:space="preserve">Map A I2</t>
  </si>
  <si>
    <t xml:space="preserve">Map A I3</t>
  </si>
  <si>
    <t xml:space="preserve">Map A I4</t>
  </si>
  <si>
    <t xml:space="preserve">Map A I5</t>
  </si>
  <si>
    <t xml:space="preserve">Map A I6</t>
  </si>
  <si>
    <t xml:space="preserve">Map A I7</t>
  </si>
  <si>
    <t xml:space="preserve">Map A I8</t>
  </si>
  <si>
    <t xml:space="preserve">Map A I9</t>
  </si>
  <si>
    <t xml:space="preserve">Map A I10</t>
  </si>
  <si>
    <t xml:space="preserve">Map A J1</t>
  </si>
  <si>
    <t xml:space="preserve">Map A J2</t>
  </si>
  <si>
    <t xml:space="preserve">Map A J3</t>
  </si>
  <si>
    <t xml:space="preserve">Map A J4</t>
  </si>
  <si>
    <t xml:space="preserve">Map A J5</t>
  </si>
  <si>
    <t xml:space="preserve">Map A J6</t>
  </si>
  <si>
    <t xml:space="preserve">Map A J7</t>
  </si>
  <si>
    <t xml:space="preserve">Map A J8</t>
  </si>
  <si>
    <t xml:space="preserve">Map A J9</t>
  </si>
  <si>
    <t xml:space="preserve">Map A J10</t>
  </si>
  <si>
    <t xml:space="preserve">Map A Blank</t>
  </si>
  <si>
    <t xml:space="preserve">Map B A1</t>
  </si>
  <si>
    <t xml:space="preserve">Map B A2</t>
  </si>
  <si>
    <t xml:space="preserve">Map B A3</t>
  </si>
  <si>
    <t xml:space="preserve">Map B A4</t>
  </si>
  <si>
    <t xml:space="preserve">Map B A5</t>
  </si>
  <si>
    <t xml:space="preserve">Map B A6</t>
  </si>
  <si>
    <t xml:space="preserve">Map B A7</t>
  </si>
  <si>
    <t xml:space="preserve">Map B A8</t>
  </si>
  <si>
    <t xml:space="preserve">Map B A9</t>
  </si>
  <si>
    <t xml:space="preserve">Map B A10</t>
  </si>
  <si>
    <t xml:space="preserve">Map B B1</t>
  </si>
  <si>
    <t xml:space="preserve">Map B B2</t>
  </si>
  <si>
    <t xml:space="preserve">Map B B3</t>
  </si>
  <si>
    <t xml:space="preserve">Map B B4</t>
  </si>
  <si>
    <t xml:space="preserve">Map B B5</t>
  </si>
  <si>
    <t xml:space="preserve">Map B B6</t>
  </si>
  <si>
    <t xml:space="preserve">Map B B7</t>
  </si>
  <si>
    <t xml:space="preserve">Map B B8</t>
  </si>
  <si>
    <t xml:space="preserve">Map B B9</t>
  </si>
  <si>
    <t xml:space="preserve">Map B B10</t>
  </si>
  <si>
    <t xml:space="preserve">Map B C1</t>
  </si>
  <si>
    <t xml:space="preserve">Map B C2</t>
  </si>
  <si>
    <t xml:space="preserve">Map B C3</t>
  </si>
  <si>
    <t xml:space="preserve">Map B C4</t>
  </si>
  <si>
    <t xml:space="preserve">Map B C5</t>
  </si>
  <si>
    <t xml:space="preserve">Map B C6</t>
  </si>
  <si>
    <t xml:space="preserve">Map B C7</t>
  </si>
  <si>
    <t xml:space="preserve">Map B C8</t>
  </si>
  <si>
    <t xml:space="preserve">Map B C9</t>
  </si>
  <si>
    <t xml:space="preserve">Map B C10</t>
  </si>
  <si>
    <t xml:space="preserve">Map B D1</t>
  </si>
  <si>
    <t xml:space="preserve">Map B D2</t>
  </si>
  <si>
    <t xml:space="preserve">Map B D3</t>
  </si>
  <si>
    <t xml:space="preserve">Map B D4</t>
  </si>
  <si>
    <t xml:space="preserve">Map B D5</t>
  </si>
  <si>
    <t xml:space="preserve">Map B D6</t>
  </si>
  <si>
    <t xml:space="preserve">Map B D7</t>
  </si>
  <si>
    <t xml:space="preserve">Map B D8</t>
  </si>
  <si>
    <t xml:space="preserve">Map B D9</t>
  </si>
  <si>
    <t xml:space="preserve">Map B D10</t>
  </si>
  <si>
    <t xml:space="preserve">Map B E1</t>
  </si>
  <si>
    <t xml:space="preserve">Map B E2</t>
  </si>
  <si>
    <t xml:space="preserve">Map B E3</t>
  </si>
  <si>
    <t xml:space="preserve">Map B E4</t>
  </si>
  <si>
    <t xml:space="preserve">Map B E5</t>
  </si>
  <si>
    <t xml:space="preserve">Map B E6</t>
  </si>
  <si>
    <t xml:space="preserve">Map B E7</t>
  </si>
  <si>
    <t xml:space="preserve">Map B E8</t>
  </si>
  <si>
    <t xml:space="preserve">Map B E9</t>
  </si>
  <si>
    <t xml:space="preserve">Map B E10</t>
  </si>
  <si>
    <t xml:space="preserve">Map B F1</t>
  </si>
  <si>
    <t xml:space="preserve">Map B F2</t>
  </si>
  <si>
    <t xml:space="preserve">Map B F3</t>
  </si>
  <si>
    <t xml:space="preserve">Map B F4</t>
  </si>
  <si>
    <t xml:space="preserve">Map B F5</t>
  </si>
  <si>
    <t xml:space="preserve">Map B F6</t>
  </si>
  <si>
    <t xml:space="preserve">Map B F7</t>
  </si>
  <si>
    <t xml:space="preserve">Map B F8</t>
  </si>
  <si>
    <t xml:space="preserve">Map B F9</t>
  </si>
  <si>
    <t xml:space="preserve">Map B F10</t>
  </si>
  <si>
    <t xml:space="preserve">Map B G1</t>
  </si>
  <si>
    <t xml:space="preserve">Map B G2</t>
  </si>
  <si>
    <t xml:space="preserve">Map B G3</t>
  </si>
  <si>
    <t xml:space="preserve">Map B G4</t>
  </si>
  <si>
    <t xml:space="preserve">Map B G5</t>
  </si>
  <si>
    <t xml:space="preserve">Map B G6</t>
  </si>
  <si>
    <t xml:space="preserve">Map B G7</t>
  </si>
  <si>
    <t xml:space="preserve">Map B G8</t>
  </si>
  <si>
    <t xml:space="preserve">Map B G9</t>
  </si>
  <si>
    <t xml:space="preserve">Map B G10</t>
  </si>
  <si>
    <t xml:space="preserve">Map B H1</t>
  </si>
  <si>
    <t xml:space="preserve">Map B H2</t>
  </si>
  <si>
    <t xml:space="preserve">Map B H3</t>
  </si>
  <si>
    <t xml:space="preserve">Map B H4</t>
  </si>
  <si>
    <t xml:space="preserve">Map B H5</t>
  </si>
  <si>
    <t xml:space="preserve">Map B H6</t>
  </si>
  <si>
    <t xml:space="preserve">Map B H7</t>
  </si>
  <si>
    <t xml:space="preserve">Map B H8</t>
  </si>
  <si>
    <t xml:space="preserve">Map B H9</t>
  </si>
  <si>
    <t xml:space="preserve">Map B H10</t>
  </si>
  <si>
    <t xml:space="preserve">Map B I1</t>
  </si>
  <si>
    <t xml:space="preserve">Map B I2</t>
  </si>
  <si>
    <t xml:space="preserve">Map B I3</t>
  </si>
  <si>
    <t xml:space="preserve">Map B I4</t>
  </si>
  <si>
    <t xml:space="preserve">Map B I5</t>
  </si>
  <si>
    <t xml:space="preserve">Map B I6</t>
  </si>
  <si>
    <t xml:space="preserve">Map B I7</t>
  </si>
  <si>
    <t xml:space="preserve">Map B I8</t>
  </si>
  <si>
    <t xml:space="preserve">Map B I9</t>
  </si>
  <si>
    <t xml:space="preserve">Map B I10</t>
  </si>
  <si>
    <t xml:space="preserve">Map B J1</t>
  </si>
  <si>
    <t xml:space="preserve">Map B J2</t>
  </si>
  <si>
    <t xml:space="preserve">Map B J3</t>
  </si>
  <si>
    <t xml:space="preserve">Map B J4</t>
  </si>
  <si>
    <t xml:space="preserve">Map B J5</t>
  </si>
  <si>
    <t xml:space="preserve">Map B J6</t>
  </si>
  <si>
    <t xml:space="preserve">Map B J7</t>
  </si>
  <si>
    <t xml:space="preserve">Map B J8</t>
  </si>
  <si>
    <t xml:space="preserve">Map B J9</t>
  </si>
  <si>
    <t xml:space="preserve">Map B J10</t>
  </si>
  <si>
    <t xml:space="preserve">Map B Blank</t>
  </si>
  <si>
    <t xml:space="preserve">Map C A1</t>
  </si>
  <si>
    <t xml:space="preserve">Map C A2</t>
  </si>
  <si>
    <t xml:space="preserve">Map C A3</t>
  </si>
  <si>
    <t xml:space="preserve">Map C A4</t>
  </si>
  <si>
    <t xml:space="preserve">Map C A5</t>
  </si>
  <si>
    <t xml:space="preserve">Map C A6</t>
  </si>
  <si>
    <t xml:space="preserve">Map C A7</t>
  </si>
  <si>
    <t xml:space="preserve">Map C A8</t>
  </si>
  <si>
    <t xml:space="preserve">Map C A9</t>
  </si>
  <si>
    <t xml:space="preserve">Map C A10</t>
  </si>
  <si>
    <t xml:space="preserve">Map C B1</t>
  </si>
  <si>
    <t xml:space="preserve">Map C B2</t>
  </si>
  <si>
    <t xml:space="preserve">Map C B3</t>
  </si>
  <si>
    <t xml:space="preserve">Map C B4</t>
  </si>
  <si>
    <t xml:space="preserve">Map C B5</t>
  </si>
  <si>
    <t xml:space="preserve">Map C B6</t>
  </si>
  <si>
    <t xml:space="preserve">Map C B7</t>
  </si>
  <si>
    <t xml:space="preserve">Map C B8</t>
  </si>
  <si>
    <t xml:space="preserve">Map C B9</t>
  </si>
  <si>
    <t xml:space="preserve">Map C B10</t>
  </si>
  <si>
    <t xml:space="preserve">Map C C1</t>
  </si>
  <si>
    <t xml:space="preserve">Map C C2</t>
  </si>
  <si>
    <t xml:space="preserve">Map C C3</t>
  </si>
  <si>
    <t xml:space="preserve">Map C C4</t>
  </si>
  <si>
    <t xml:space="preserve">Map C C5</t>
  </si>
  <si>
    <t xml:space="preserve">Map C C6</t>
  </si>
  <si>
    <t xml:space="preserve">Map C C7</t>
  </si>
  <si>
    <t xml:space="preserve">Map C C8</t>
  </si>
  <si>
    <t xml:space="preserve">Map C C9</t>
  </si>
  <si>
    <t xml:space="preserve">Map C C10</t>
  </si>
  <si>
    <t xml:space="preserve">Map C D1</t>
  </si>
  <si>
    <t xml:space="preserve">Map C D2</t>
  </si>
  <si>
    <t xml:space="preserve">Map C D3</t>
  </si>
  <si>
    <t xml:space="preserve">Map C D4</t>
  </si>
  <si>
    <t xml:space="preserve">Map C D5</t>
  </si>
  <si>
    <t xml:space="preserve">Map C D6</t>
  </si>
  <si>
    <t xml:space="preserve">Map C D7</t>
  </si>
  <si>
    <t xml:space="preserve">Map C D8</t>
  </si>
  <si>
    <t xml:space="preserve">Map C D9</t>
  </si>
  <si>
    <t xml:space="preserve">Map C D10</t>
  </si>
  <si>
    <t xml:space="preserve">Map C E1</t>
  </si>
  <si>
    <t xml:space="preserve">Map C E2</t>
  </si>
  <si>
    <t xml:space="preserve">Map C E3</t>
  </si>
  <si>
    <t xml:space="preserve">Map C E4</t>
  </si>
  <si>
    <t xml:space="preserve">Map C E5</t>
  </si>
  <si>
    <t xml:space="preserve">Map C E6</t>
  </si>
  <si>
    <t xml:space="preserve">Map C E7</t>
  </si>
  <si>
    <t xml:space="preserve">Map C E8</t>
  </si>
  <si>
    <t xml:space="preserve">Map C E9</t>
  </si>
  <si>
    <t xml:space="preserve">Map C E10</t>
  </si>
  <si>
    <t xml:space="preserve">Map C F1</t>
  </si>
  <si>
    <t xml:space="preserve">Map C F2</t>
  </si>
  <si>
    <t xml:space="preserve">Map C F3</t>
  </si>
  <si>
    <t xml:space="preserve">Map C F4</t>
  </si>
  <si>
    <t xml:space="preserve">Map C F5</t>
  </si>
  <si>
    <t xml:space="preserve">Map C F6</t>
  </si>
  <si>
    <t xml:space="preserve">Map C F7</t>
  </si>
  <si>
    <t xml:space="preserve">Map C F8</t>
  </si>
  <si>
    <t xml:space="preserve">Map C F9</t>
  </si>
  <si>
    <t xml:space="preserve">Map C F10</t>
  </si>
  <si>
    <t xml:space="preserve">Map C G1</t>
  </si>
  <si>
    <t xml:space="preserve">Map C G2</t>
  </si>
  <si>
    <t xml:space="preserve">Map C G3</t>
  </si>
  <si>
    <t xml:space="preserve">Map C G4</t>
  </si>
  <si>
    <t xml:space="preserve">Map C G5</t>
  </si>
  <si>
    <t xml:space="preserve">Map C G6</t>
  </si>
  <si>
    <t xml:space="preserve">Map C G7</t>
  </si>
  <si>
    <t xml:space="preserve">Map C G8</t>
  </si>
  <si>
    <t xml:space="preserve">Map C G9</t>
  </si>
  <si>
    <t xml:space="preserve">Map C G10</t>
  </si>
  <si>
    <t xml:space="preserve">Map C H1</t>
  </si>
  <si>
    <t xml:space="preserve">Map C H2</t>
  </si>
  <si>
    <t xml:space="preserve">Map C H3</t>
  </si>
  <si>
    <t xml:space="preserve">Map C H4</t>
  </si>
  <si>
    <t xml:space="preserve">Map C H5</t>
  </si>
  <si>
    <t xml:space="preserve">Map C H6</t>
  </si>
  <si>
    <t xml:space="preserve">Map C H7</t>
  </si>
  <si>
    <t xml:space="preserve">Map C H8</t>
  </si>
  <si>
    <t xml:space="preserve">Map C H9</t>
  </si>
  <si>
    <t xml:space="preserve">Map C H10</t>
  </si>
  <si>
    <t xml:space="preserve">Map C I1</t>
  </si>
  <si>
    <t xml:space="preserve">Map C I2</t>
  </si>
  <si>
    <t xml:space="preserve">Map C I3</t>
  </si>
  <si>
    <t xml:space="preserve">Map C I4</t>
  </si>
  <si>
    <t xml:space="preserve">Map C I5</t>
  </si>
  <si>
    <t xml:space="preserve">Map C I6</t>
  </si>
  <si>
    <t xml:space="preserve">Map C I7</t>
  </si>
  <si>
    <t xml:space="preserve">Map C I8</t>
  </si>
  <si>
    <t xml:space="preserve">Map C I9</t>
  </si>
  <si>
    <t xml:space="preserve">Map C I10</t>
  </si>
  <si>
    <t xml:space="preserve">Map C J1</t>
  </si>
  <si>
    <t xml:space="preserve">Map C J2</t>
  </si>
  <si>
    <t xml:space="preserve">Map C J3</t>
  </si>
  <si>
    <t xml:space="preserve">Map C J4</t>
  </si>
  <si>
    <t xml:space="preserve">Map C J5</t>
  </si>
  <si>
    <t xml:space="preserve">Map C J6</t>
  </si>
  <si>
    <t xml:space="preserve">Map C J7</t>
  </si>
  <si>
    <t xml:space="preserve">Map C J8</t>
  </si>
  <si>
    <t xml:space="preserve">Map C J9</t>
  </si>
  <si>
    <t xml:space="preserve">Map C J10</t>
  </si>
  <si>
    <t xml:space="preserve">Map C Blank</t>
  </si>
  <si>
    <t xml:space="preserve">Squid Pen A1</t>
  </si>
  <si>
    <t xml:space="preserve">Squid Pen A2</t>
  </si>
  <si>
    <t xml:space="preserve">Squid Pen A3</t>
  </si>
  <si>
    <t xml:space="preserve">Squid Pen A4</t>
  </si>
  <si>
    <t xml:space="preserve">Squid Pen A5</t>
  </si>
  <si>
    <t xml:space="preserve">Squid Pen A6</t>
  </si>
  <si>
    <t xml:space="preserve">Squid Pen A7</t>
  </si>
  <si>
    <t xml:space="preserve">Squid Pen A8</t>
  </si>
  <si>
    <t xml:space="preserve">Squid Pen A9</t>
  </si>
  <si>
    <t xml:space="preserve">Squid Pen A10</t>
  </si>
  <si>
    <t xml:space="preserve">Squid Pen A11</t>
  </si>
  <si>
    <t xml:space="preserve">Squid Pen B1</t>
  </si>
  <si>
    <t xml:space="preserve">Squid Pen B2</t>
  </si>
  <si>
    <t xml:space="preserve">Squid Pen B3</t>
  </si>
  <si>
    <t xml:space="preserve">Squid Pen B4</t>
  </si>
  <si>
    <t xml:space="preserve">Squid Pen B5</t>
  </si>
  <si>
    <t xml:space="preserve">Squid Pen B6</t>
  </si>
  <si>
    <t xml:space="preserve">Squid Pen B7</t>
  </si>
  <si>
    <t xml:space="preserve">Squid Pen B8</t>
  </si>
  <si>
    <t xml:space="preserve">Squid Pen B9</t>
  </si>
  <si>
    <t xml:space="preserve">Squid Pen B10</t>
  </si>
  <si>
    <t xml:space="preserve">Squid Pen B11</t>
  </si>
  <si>
    <t xml:space="preserve">Squid Pen C1</t>
  </si>
  <si>
    <t xml:space="preserve">Squid Pen C2</t>
  </si>
  <si>
    <t xml:space="preserve">Squid Pen C3</t>
  </si>
  <si>
    <t xml:space="preserve">Squid Pen C4</t>
  </si>
  <si>
    <t xml:space="preserve">Squid Pen C5</t>
  </si>
  <si>
    <t xml:space="preserve">Squid Pen C6</t>
  </si>
  <si>
    <t xml:space="preserve">Squid Pen C7</t>
  </si>
  <si>
    <t xml:space="preserve">Squid Pen C8</t>
  </si>
  <si>
    <t xml:space="preserve">Squid Pen C9</t>
  </si>
  <si>
    <t xml:space="preserve">Squid Pen C10</t>
  </si>
  <si>
    <t xml:space="preserve">Squid Pen C11</t>
  </si>
  <si>
    <t xml:space="preserve">Squid Pen Blank</t>
  </si>
  <si>
    <t xml:space="preserve">Map A Mg E1</t>
  </si>
  <si>
    <t xml:space="preserve">Map A Mg E2</t>
  </si>
  <si>
    <t xml:space="preserve">Map A Mg E3</t>
  </si>
  <si>
    <t xml:space="preserve">Map A Mg E4</t>
  </si>
  <si>
    <t xml:space="preserve">Map A Mg E5</t>
  </si>
  <si>
    <t xml:space="preserve">Map A Mg E6</t>
  </si>
  <si>
    <t xml:space="preserve">Map A Mg E7</t>
  </si>
  <si>
    <t xml:space="preserve">Map A Mg E8</t>
  </si>
  <si>
    <t xml:space="preserve">Map A Mg E9</t>
  </si>
  <si>
    <t xml:space="preserve">Map A Mg E10</t>
  </si>
  <si>
    <t xml:space="preserve">Map A Mg Blank</t>
  </si>
  <si>
    <t xml:space="preserve">Map A Mg F1</t>
  </si>
  <si>
    <t xml:space="preserve">Map A Mg F2</t>
  </si>
  <si>
    <t xml:space="preserve">Map A Mg F3</t>
  </si>
  <si>
    <t xml:space="preserve">Map A Mg F4</t>
  </si>
  <si>
    <t xml:space="preserve">Map A Mg F5</t>
  </si>
  <si>
    <t xml:space="preserve">Map A Mg F6</t>
  </si>
  <si>
    <t xml:space="preserve">Map A Mg F7</t>
  </si>
  <si>
    <t xml:space="preserve">Map A Mg F8</t>
  </si>
  <si>
    <t xml:space="preserve">Map A Mg F9</t>
  </si>
  <si>
    <t xml:space="preserve">Map A Mg F10</t>
  </si>
  <si>
    <t xml:space="preserve">Map A Mg F Blank</t>
  </si>
  <si>
    <t xml:space="preserve">Map A Mg G1</t>
  </si>
  <si>
    <t xml:space="preserve">Map A Mg G2</t>
  </si>
  <si>
    <t xml:space="preserve">Map A Mg G3</t>
  </si>
  <si>
    <t xml:space="preserve">Map A Mg G4</t>
  </si>
  <si>
    <t xml:space="preserve">Map A Mg G5</t>
  </si>
  <si>
    <t xml:space="preserve">Map A Mg G6</t>
  </si>
  <si>
    <t xml:space="preserve">Map A Mg G7</t>
  </si>
  <si>
    <t xml:space="preserve">Map A Mg G8</t>
  </si>
  <si>
    <t xml:space="preserve">Map A Mg G9</t>
  </si>
  <si>
    <t xml:space="preserve">Map A Mg G10</t>
  </si>
  <si>
    <t xml:space="preserve">Map A Mg G Blank</t>
  </si>
  <si>
    <t xml:space="preserve">Cu Liquid Heat A</t>
  </si>
  <si>
    <t xml:space="preserve">Cu Liquid Heat B</t>
  </si>
  <si>
    <t xml:space="preserve">Cu Liquid Heat C</t>
  </si>
  <si>
    <t xml:space="preserve">Pauls Ecell</t>
  </si>
  <si>
    <t xml:space="preserve">Pauls Ecell Blank</t>
  </si>
  <si>
    <t xml:space="preserve">Knuts Ecell</t>
  </si>
  <si>
    <t xml:space="preserve">Knuts Ecell Blank</t>
  </si>
  <si>
    <t xml:space="preserve">Cu GI1</t>
  </si>
  <si>
    <t xml:space="preserve">Cu GI2</t>
  </si>
  <si>
    <t xml:space="preserve">Cu GI3</t>
  </si>
  <si>
    <t xml:space="preserve">Cu GI4</t>
  </si>
  <si>
    <t xml:space="preserve">Cu GI5</t>
  </si>
  <si>
    <t xml:space="preserve">Cu GI blank</t>
  </si>
  <si>
    <t xml:space="preserve">Cu Liquid Heat A 20251215</t>
  </si>
  <si>
    <t xml:space="preserve">Cu Liquid Heat B 20251215</t>
  </si>
  <si>
    <t xml:space="preserve">Cu Liquid Heat C 20251215</t>
  </si>
  <si>
    <t xml:space="preserve">Cu Heat Blank 20251215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</si>
</sst>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;@"/>
    <numFmt numFmtId="166" formatCode="@"/>
    <numFmt numFmtId="167" formatCode="0"/>
    <numFmt numFmtId="168" formatCode="mm/dd/yyyy"/>
    <numFmt numFmtId="169" formatCode="#,##0"/>
    <numFmt numFmtId="170" formatCode="##0.0E+0;[RED]\-##0.0E+0"/>
    <numFmt numFmtId="171" formatCode="0.00E+00"/>
    <numFmt numFmtId="172" formatCode="0.000"/>
    <numFmt numFmtId="173" formatCode="#,##0.000"/>
    <numFmt numFmtId="174" formatCode="0.00"/>
  </numFmts>
  <fonts count="2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7030A0"/>
      <name val="Calibri"/>
      <family val="2"/>
      <charset val="1"/>
    </font>
    <font>
      <b val="true"/>
      <sz val="12"/>
      <color rgb="FF7030A0"/>
      <name val="Arial"/>
      <family val="2"/>
      <charset val="1"/>
    </font>
    <font>
      <b val="true"/>
      <sz val="12"/>
      <name val="Arial"/>
      <family val="2"/>
      <charset val="1"/>
    </font>
    <font>
      <sz val="8"/>
      <color rgb="FF7030A0"/>
      <name val="Arial"/>
      <family val="2"/>
      <charset val="1"/>
    </font>
    <font>
      <sz val="8"/>
      <name val="Arial"/>
      <family val="2"/>
      <charset val="1"/>
    </font>
    <font>
      <b val="true"/>
      <sz val="12"/>
      <color rgb="FF0066CC"/>
      <name val="Arial"/>
      <family val="2"/>
      <charset val="1"/>
    </font>
    <font>
      <b val="true"/>
      <sz val="10"/>
      <color rgb="FF7030A0"/>
      <name val="Consolas"/>
      <family val="3"/>
      <charset val="1"/>
    </font>
    <font>
      <sz val="11"/>
      <color rgb="FF7030A0"/>
      <name val="Arial"/>
      <family val="2"/>
      <charset val="1"/>
    </font>
    <font>
      <sz val="10"/>
      <color rgb="FF000000"/>
      <name val="Times New Roman"/>
      <family val="1"/>
    </font>
    <font>
      <sz val="11"/>
      <color rgb="FFFF0000"/>
      <name val="Arial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i val="true"/>
      <sz val="11"/>
      <color rgb="FFFF0000"/>
      <name val="Arial"/>
      <family val="2"/>
      <charset val="1"/>
    </font>
    <font>
      <sz val="10"/>
      <color rgb="FF000000"/>
      <name val="Arial Unicode MS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FBE5D6"/>
        <bgColor rgb="FFF2F2F2"/>
      </patternFill>
    </fill>
    <fill>
      <patternFill patternType="solid">
        <fgColor rgb="FFFFFFD7"/>
        <bgColor rgb="FFF2F2F2"/>
      </patternFill>
    </fill>
    <fill>
      <patternFill patternType="solid">
        <fgColor rgb="FFDAE3F3"/>
        <bgColor rgb="FFE2F0D9"/>
      </patternFill>
    </fill>
    <fill>
      <patternFill patternType="solid">
        <fgColor rgb="FF92D050"/>
        <bgColor rgb="FFC0C0C0"/>
      </patternFill>
    </fill>
    <fill>
      <patternFill patternType="solid">
        <fgColor rgb="FFE2F0D9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2F0D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1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18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7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18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7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7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3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D7"/>
      <rgbColor rgb="FFE2F0D9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BE5D6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6" ySplit="2" topLeftCell="Q3" activePane="bottomRight" state="frozen"/>
      <selection pane="topLeft" activeCell="A1" activeCellId="0" sqref="A1"/>
      <selection pane="topRight" activeCell="Q1" activeCellId="0" sqref="Q1"/>
      <selection pane="bottomLeft" activeCell="A3" activeCellId="0" sqref="A3"/>
      <selection pane="bottomRight" activeCell="S21" activeCellId="0" sqref="S7:T21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12"/>
    <col collapsed="false" customWidth="true" hidden="false" outlineLevel="0" max="3" min="3" style="1" width="12"/>
    <col collapsed="false" customWidth="true" hidden="false" outlineLevel="0" max="4" min="4" style="1" width="14.42"/>
    <col collapsed="false" customWidth="true" hidden="false" outlineLevel="0" max="5" min="5" style="1" width="12.57"/>
    <col collapsed="false" customWidth="true" hidden="false" outlineLevel="0" max="6" min="6" style="1" width="9.42"/>
    <col collapsed="false" customWidth="true" hidden="false" outlineLevel="0" max="7" min="7" style="3" width="14.14"/>
    <col collapsed="false" customWidth="true" hidden="false" outlineLevel="0" max="8" min="8" style="4" width="13.86"/>
    <col collapsed="false" customWidth="true" hidden="false" outlineLevel="0" max="9" min="9" style="3" width="14.14"/>
    <col collapsed="false" customWidth="true" hidden="false" outlineLevel="0" max="10" min="10" style="4" width="14.14"/>
    <col collapsed="false" customWidth="true" hidden="false" outlineLevel="0" max="11" min="11" style="4" width="12.15"/>
    <col collapsed="false" customWidth="true" hidden="false" outlineLevel="0" max="12" min="12" style="4" width="17.42"/>
    <col collapsed="false" customWidth="true" hidden="false" outlineLevel="0" max="13" min="13" style="1" width="23.71"/>
    <col collapsed="false" customWidth="true" hidden="false" outlineLevel="0" max="14" min="14" style="4" width="42.86"/>
    <col collapsed="false" customWidth="true" hidden="false" outlineLevel="0" max="15" min="15" style="4" width="56.15"/>
    <col collapsed="false" customWidth="true" hidden="false" outlineLevel="0" max="16" min="16" style="4" width="31.57"/>
    <col collapsed="false" customWidth="true" hidden="false" outlineLevel="0" max="18" min="18" style="4" width="2.16"/>
    <col collapsed="false" customWidth="true" hidden="false" outlineLevel="0" max="19" min="19" style="4" width="17.57"/>
    <col collapsed="false" customWidth="true" hidden="false" outlineLevel="0" max="20" min="20" style="4" width="43.75"/>
    <col collapsed="false" customWidth="true" hidden="false" outlineLevel="0" max="21" min="21" style="4" width="16.84"/>
    <col collapsed="false" customWidth="true" hidden="false" outlineLevel="0" max="22" min="22" style="4" width="9.86"/>
    <col collapsed="false" customWidth="true" hidden="false" outlineLevel="0" max="24" min="24" style="4" width="5.57"/>
    <col collapsed="false" customWidth="true" hidden="false" outlineLevel="0" max="25" min="25" style="4" width="16.43"/>
  </cols>
  <sheetData>
    <row r="1" customFormat="false" ht="76.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8" t="s">
        <v>10</v>
      </c>
      <c r="L1" s="8" t="s">
        <v>11</v>
      </c>
      <c r="M1" s="5" t="s">
        <v>12</v>
      </c>
      <c r="N1" s="8" t="s">
        <v>13</v>
      </c>
      <c r="O1" s="8" t="s">
        <v>14</v>
      </c>
      <c r="P1" s="8" t="s">
        <v>15</v>
      </c>
      <c r="Q1" s="7" t="s">
        <v>16</v>
      </c>
      <c r="R1" s="9" t="s">
        <v>17</v>
      </c>
      <c r="S1" s="7" t="s">
        <v>18</v>
      </c>
      <c r="T1" s="7" t="s">
        <v>18</v>
      </c>
      <c r="U1" s="7" t="s">
        <v>19</v>
      </c>
      <c r="V1" s="7" t="s">
        <v>19</v>
      </c>
    </row>
    <row r="2" customFormat="false" ht="83.25" hidden="false" customHeight="true" outlineLevel="0" collapsed="false">
      <c r="A2" s="10" t="s">
        <v>20</v>
      </c>
      <c r="B2" s="10" t="s">
        <v>21</v>
      </c>
      <c r="C2" s="10" t="s">
        <v>22</v>
      </c>
      <c r="D2" s="10" t="s">
        <v>23</v>
      </c>
      <c r="E2" s="10" t="s">
        <v>24</v>
      </c>
      <c r="F2" s="11" t="s">
        <v>25</v>
      </c>
      <c r="G2" s="12" t="s">
        <v>26</v>
      </c>
      <c r="H2" s="13" t="s">
        <v>27</v>
      </c>
      <c r="I2" s="12" t="s">
        <v>28</v>
      </c>
      <c r="J2" s="12" t="s">
        <v>29</v>
      </c>
      <c r="K2" s="13" t="s">
        <v>30</v>
      </c>
      <c r="L2" s="13" t="s">
        <v>31</v>
      </c>
      <c r="M2" s="10"/>
      <c r="N2" s="14" t="s">
        <v>32</v>
      </c>
      <c r="O2" s="13" t="s">
        <v>33</v>
      </c>
      <c r="P2" s="15"/>
      <c r="Q2" s="12" t="s">
        <v>34</v>
      </c>
      <c r="R2" s="16"/>
      <c r="S2" s="12" t="s">
        <v>35</v>
      </c>
      <c r="T2" s="12" t="s">
        <v>36</v>
      </c>
    </row>
    <row r="3" customFormat="false" ht="15" hidden="false" customHeight="false" outlineLevel="0" collapsed="false">
      <c r="A3" s="17" t="s">
        <v>37</v>
      </c>
      <c r="B3" s="17" t="s">
        <v>38</v>
      </c>
      <c r="C3" s="17" t="s">
        <v>39</v>
      </c>
      <c r="D3" s="17" t="s">
        <v>40</v>
      </c>
      <c r="E3" s="17" t="s">
        <v>41</v>
      </c>
      <c r="F3" s="17" t="s">
        <v>42</v>
      </c>
      <c r="G3" s="18" t="s">
        <v>43</v>
      </c>
      <c r="H3" s="19" t="s">
        <v>44</v>
      </c>
      <c r="I3" s="18" t="s">
        <v>45</v>
      </c>
      <c r="J3" s="18" t="s">
        <v>46</v>
      </c>
      <c r="K3" s="19" t="s">
        <v>47</v>
      </c>
      <c r="L3" s="20" t="s">
        <v>48</v>
      </c>
      <c r="M3" s="17" t="s">
        <v>49</v>
      </c>
      <c r="N3" s="19" t="s">
        <v>50</v>
      </c>
      <c r="O3" s="19" t="s">
        <v>51</v>
      </c>
      <c r="P3" s="19" t="s">
        <v>52</v>
      </c>
      <c r="Q3" s="18"/>
      <c r="R3" s="21"/>
      <c r="S3" s="22" t="s">
        <v>53</v>
      </c>
      <c r="T3" s="23" t="s">
        <v>54</v>
      </c>
      <c r="U3" s="22" t="s">
        <v>55</v>
      </c>
      <c r="V3" s="23" t="s">
        <v>56</v>
      </c>
      <c r="W3" s="24" t="s">
        <v>57</v>
      </c>
      <c r="X3" s="24" t="s">
        <v>58</v>
      </c>
      <c r="Y3" s="24" t="s">
        <v>59</v>
      </c>
      <c r="Z3" s="24" t="s">
        <v>60</v>
      </c>
    </row>
    <row r="4" s="31" customFormat="true" ht="5.25" hidden="false" customHeight="true" outlineLevel="0" collapsed="false">
      <c r="A4" s="25"/>
      <c r="B4" s="25"/>
      <c r="C4" s="25"/>
      <c r="D4" s="25"/>
      <c r="E4" s="25"/>
      <c r="F4" s="26"/>
      <c r="G4" s="27"/>
      <c r="H4" s="28"/>
      <c r="I4" s="27"/>
      <c r="J4" s="29"/>
      <c r="K4" s="28"/>
      <c r="L4" s="28"/>
      <c r="M4" s="25"/>
      <c r="N4" s="28"/>
      <c r="O4" s="28"/>
      <c r="P4" s="30"/>
      <c r="Q4" s="30"/>
      <c r="R4" s="30"/>
      <c r="S4" s="30"/>
    </row>
    <row r="5" customFormat="false" ht="15" hidden="false" customHeight="false" outlineLevel="0" collapsed="false">
      <c r="A5" s="32"/>
      <c r="B5" s="33"/>
      <c r="C5" s="32"/>
      <c r="D5" s="32"/>
      <c r="E5" s="32"/>
      <c r="F5" s="32"/>
      <c r="G5" s="34"/>
      <c r="H5" s="15"/>
      <c r="I5" s="34"/>
      <c r="J5" s="15"/>
      <c r="K5" s="15"/>
      <c r="L5" s="15"/>
      <c r="M5" s="32"/>
      <c r="N5" s="15"/>
      <c r="O5" s="15"/>
      <c r="P5" s="15"/>
      <c r="Q5" s="15"/>
      <c r="R5" s="30"/>
      <c r="S5" s="15"/>
    </row>
    <row r="6" customFormat="false" ht="15" hidden="false" customHeight="false" outlineLevel="0" collapsed="false">
      <c r="M6" s="35"/>
    </row>
    <row r="7" customFormat="false" ht="15" hidden="false" customHeight="false" outlineLevel="0" collapsed="false">
      <c r="A7" s="36" t="n">
        <v>1</v>
      </c>
      <c r="B7" s="33" t="n">
        <v>46011</v>
      </c>
      <c r="C7" s="37" t="n">
        <v>2025001</v>
      </c>
      <c r="D7" s="38" t="n">
        <v>5</v>
      </c>
      <c r="E7" s="39" t="s">
        <v>61</v>
      </c>
      <c r="F7" s="40" t="n">
        <v>1</v>
      </c>
      <c r="G7" s="41" t="n">
        <f aca="false">B7</f>
        <v>46011</v>
      </c>
      <c r="H7" s="42" t="n">
        <f aca="false">F7</f>
        <v>1</v>
      </c>
      <c r="I7" s="41"/>
      <c r="J7" s="43"/>
      <c r="K7" s="42" t="n">
        <v>1</v>
      </c>
      <c r="L7" s="44" t="n">
        <v>-1</v>
      </c>
      <c r="M7" s="35" t="s">
        <v>62</v>
      </c>
      <c r="N7" s="45" t="s">
        <v>63</v>
      </c>
      <c r="O7" s="37" t="s">
        <v>64</v>
      </c>
      <c r="P7" s="46" t="s">
        <v>65</v>
      </c>
      <c r="Q7" s="46" t="n">
        <f aca="false">6*3600</f>
        <v>21600</v>
      </c>
      <c r="R7" s="30"/>
      <c r="S7" s="46" t="s">
        <v>66</v>
      </c>
      <c r="T7" s="47" t="n">
        <v>160</v>
      </c>
    </row>
    <row r="8" customFormat="false" ht="15" hidden="false" customHeight="false" outlineLevel="0" collapsed="false">
      <c r="A8" s="36" t="n">
        <f aca="false">A7</f>
        <v>1</v>
      </c>
      <c r="B8" s="33" t="n">
        <f aca="false">B7</f>
        <v>46011</v>
      </c>
      <c r="C8" s="37" t="n">
        <v>2025002</v>
      </c>
      <c r="D8" s="38" t="n">
        <v>1</v>
      </c>
      <c r="E8" s="39" t="s">
        <v>61</v>
      </c>
      <c r="F8" s="40" t="n">
        <f aca="false">F7+1</f>
        <v>2</v>
      </c>
      <c r="G8" s="41" t="n">
        <f aca="false">G7</f>
        <v>46011</v>
      </c>
      <c r="H8" s="42" t="n">
        <v>1</v>
      </c>
      <c r="I8" s="41"/>
      <c r="J8" s="43"/>
      <c r="K8" s="42" t="n">
        <v>1</v>
      </c>
      <c r="L8" s="44" t="n">
        <v>-1</v>
      </c>
      <c r="M8" s="35" t="s">
        <v>67</v>
      </c>
      <c r="N8" s="45" t="s">
        <v>63</v>
      </c>
      <c r="O8" s="37" t="s">
        <v>68</v>
      </c>
      <c r="P8" s="46"/>
      <c r="Q8" s="46" t="n">
        <f aca="false">6*3600</f>
        <v>21600</v>
      </c>
      <c r="R8" s="30"/>
      <c r="S8" s="46" t="s">
        <v>66</v>
      </c>
      <c r="T8" s="47" t="n">
        <v>160</v>
      </c>
    </row>
    <row r="9" customFormat="false" ht="15" hidden="false" customHeight="false" outlineLevel="0" collapsed="false">
      <c r="A9" s="36" t="n">
        <f aca="false">A8</f>
        <v>1</v>
      </c>
      <c r="B9" s="33" t="n">
        <f aca="false">B8</f>
        <v>46011</v>
      </c>
      <c r="C9" s="37" t="n">
        <v>2025002</v>
      </c>
      <c r="D9" s="38" t="n">
        <f aca="false">D8+1</f>
        <v>2</v>
      </c>
      <c r="E9" s="39" t="s">
        <v>61</v>
      </c>
      <c r="F9" s="40" t="n">
        <f aca="false">F8+1</f>
        <v>3</v>
      </c>
      <c r="G9" s="41" t="n">
        <f aca="false">G8</f>
        <v>46011</v>
      </c>
      <c r="H9" s="42" t="n">
        <f aca="false">H8</f>
        <v>1</v>
      </c>
      <c r="I9" s="41"/>
      <c r="J9" s="43"/>
      <c r="K9" s="42" t="n">
        <v>1</v>
      </c>
      <c r="L9" s="44" t="n">
        <v>-1</v>
      </c>
      <c r="M9" s="35" t="s">
        <v>69</v>
      </c>
      <c r="N9" s="45" t="s">
        <v>63</v>
      </c>
      <c r="O9" s="37" t="s">
        <v>68</v>
      </c>
      <c r="P9" s="46"/>
      <c r="Q9" s="46" t="n">
        <f aca="false">6*3600</f>
        <v>21600</v>
      </c>
      <c r="R9" s="30"/>
      <c r="S9" s="46" t="s">
        <v>66</v>
      </c>
      <c r="T9" s="47" t="n">
        <v>160</v>
      </c>
    </row>
    <row r="10" customFormat="false" ht="15" hidden="false" customHeight="false" outlineLevel="0" collapsed="false">
      <c r="A10" s="36" t="n">
        <f aca="false">A9</f>
        <v>1</v>
      </c>
      <c r="B10" s="33" t="n">
        <f aca="false">B9</f>
        <v>46011</v>
      </c>
      <c r="C10" s="37" t="n">
        <v>2025002</v>
      </c>
      <c r="D10" s="38" t="n">
        <f aca="false">D9+1</f>
        <v>3</v>
      </c>
      <c r="E10" s="39" t="s">
        <v>61</v>
      </c>
      <c r="F10" s="40" t="n">
        <f aca="false">F9+1</f>
        <v>4</v>
      </c>
      <c r="G10" s="41" t="n">
        <f aca="false">G9</f>
        <v>46011</v>
      </c>
      <c r="H10" s="42" t="n">
        <f aca="false">H9</f>
        <v>1</v>
      </c>
      <c r="I10" s="41"/>
      <c r="J10" s="43"/>
      <c r="K10" s="42" t="n">
        <v>1</v>
      </c>
      <c r="L10" s="44" t="n">
        <v>-1</v>
      </c>
      <c r="M10" s="35" t="s">
        <v>70</v>
      </c>
      <c r="N10" s="45" t="s">
        <v>63</v>
      </c>
      <c r="O10" s="37" t="s">
        <v>68</v>
      </c>
      <c r="P10" s="46"/>
      <c r="Q10" s="46" t="n">
        <f aca="false">6*3600</f>
        <v>21600</v>
      </c>
      <c r="R10" s="30"/>
      <c r="S10" s="46" t="s">
        <v>66</v>
      </c>
      <c r="T10" s="47" t="n">
        <v>160</v>
      </c>
    </row>
    <row r="11" customFormat="false" ht="15" hidden="false" customHeight="false" outlineLevel="0" collapsed="false">
      <c r="A11" s="36" t="n">
        <f aca="false">A10</f>
        <v>1</v>
      </c>
      <c r="B11" s="33" t="n">
        <f aca="false">B10</f>
        <v>46011</v>
      </c>
      <c r="C11" s="37" t="n">
        <v>2025002</v>
      </c>
      <c r="D11" s="38" t="n">
        <f aca="false">D10+1</f>
        <v>4</v>
      </c>
      <c r="E11" s="39" t="s">
        <v>61</v>
      </c>
      <c r="F11" s="40" t="n">
        <f aca="false">F10+1</f>
        <v>5</v>
      </c>
      <c r="G11" s="41" t="n">
        <f aca="false">G10</f>
        <v>46011</v>
      </c>
      <c r="H11" s="42" t="n">
        <f aca="false">H10</f>
        <v>1</v>
      </c>
      <c r="I11" s="41"/>
      <c r="J11" s="43"/>
      <c r="K11" s="42" t="n">
        <v>1</v>
      </c>
      <c r="L11" s="44" t="n">
        <v>-1</v>
      </c>
      <c r="M11" s="35" t="s">
        <v>71</v>
      </c>
      <c r="N11" s="45" t="s">
        <v>63</v>
      </c>
      <c r="O11" s="37" t="s">
        <v>68</v>
      </c>
      <c r="P11" s="46"/>
      <c r="Q11" s="46" t="n">
        <f aca="false">6*3600</f>
        <v>21600</v>
      </c>
      <c r="R11" s="30"/>
      <c r="S11" s="46" t="s">
        <v>66</v>
      </c>
      <c r="T11" s="47" t="n">
        <v>160</v>
      </c>
    </row>
    <row r="12" customFormat="false" ht="15" hidden="false" customHeight="false" outlineLevel="0" collapsed="false">
      <c r="A12" s="36" t="n">
        <f aca="false">A11</f>
        <v>1</v>
      </c>
      <c r="B12" s="33" t="n">
        <f aca="false">B11</f>
        <v>46011</v>
      </c>
      <c r="C12" s="37" t="n">
        <v>2025002</v>
      </c>
      <c r="D12" s="38" t="n">
        <f aca="false">D11+1</f>
        <v>5</v>
      </c>
      <c r="E12" s="39" t="s">
        <v>61</v>
      </c>
      <c r="F12" s="40" t="n">
        <f aca="false">F11+1</f>
        <v>6</v>
      </c>
      <c r="G12" s="41" t="n">
        <f aca="false">G11</f>
        <v>46011</v>
      </c>
      <c r="H12" s="42" t="n">
        <f aca="false">H11</f>
        <v>1</v>
      </c>
      <c r="I12" s="41"/>
      <c r="J12" s="43"/>
      <c r="K12" s="42" t="n">
        <v>1</v>
      </c>
      <c r="L12" s="44" t="n">
        <v>-1</v>
      </c>
      <c r="M12" s="35" t="s">
        <v>72</v>
      </c>
      <c r="N12" s="45" t="s">
        <v>63</v>
      </c>
      <c r="O12" s="37" t="s">
        <v>68</v>
      </c>
      <c r="P12" s="46"/>
      <c r="Q12" s="46" t="n">
        <f aca="false">6*3600</f>
        <v>21600</v>
      </c>
      <c r="R12" s="30"/>
      <c r="S12" s="46" t="s">
        <v>66</v>
      </c>
      <c r="T12" s="47" t="n">
        <v>160</v>
      </c>
    </row>
    <row r="13" customFormat="false" ht="15" hidden="false" customHeight="false" outlineLevel="0" collapsed="false">
      <c r="A13" s="36" t="n">
        <f aca="false">A12</f>
        <v>1</v>
      </c>
      <c r="B13" s="33" t="n">
        <f aca="false">B12</f>
        <v>46011</v>
      </c>
      <c r="C13" s="37" t="n">
        <v>2025002</v>
      </c>
      <c r="D13" s="38" t="n">
        <f aca="false">D12+1</f>
        <v>6</v>
      </c>
      <c r="E13" s="39" t="s">
        <v>61</v>
      </c>
      <c r="F13" s="40" t="n">
        <f aca="false">F12+1</f>
        <v>7</v>
      </c>
      <c r="G13" s="41" t="n">
        <f aca="false">G12</f>
        <v>46011</v>
      </c>
      <c r="H13" s="42" t="n">
        <f aca="false">H12</f>
        <v>1</v>
      </c>
      <c r="I13" s="41"/>
      <c r="J13" s="43"/>
      <c r="K13" s="42" t="n">
        <v>1</v>
      </c>
      <c r="L13" s="44" t="n">
        <v>-1</v>
      </c>
      <c r="M13" s="35" t="s">
        <v>73</v>
      </c>
      <c r="N13" s="45" t="s">
        <v>63</v>
      </c>
      <c r="O13" s="37" t="s">
        <v>68</v>
      </c>
      <c r="P13" s="46"/>
      <c r="Q13" s="46" t="n">
        <f aca="false">6*3600</f>
        <v>21600</v>
      </c>
      <c r="R13" s="30"/>
      <c r="S13" s="46" t="s">
        <v>66</v>
      </c>
      <c r="T13" s="47" t="n">
        <v>160</v>
      </c>
    </row>
    <row r="14" customFormat="false" ht="15" hidden="false" customHeight="false" outlineLevel="0" collapsed="false">
      <c r="A14" s="36" t="n">
        <f aca="false">A12</f>
        <v>1</v>
      </c>
      <c r="B14" s="33" t="n">
        <f aca="false">B12</f>
        <v>46011</v>
      </c>
      <c r="C14" s="37" t="n">
        <v>2025002</v>
      </c>
      <c r="D14" s="38" t="n">
        <f aca="false">D13+1</f>
        <v>7</v>
      </c>
      <c r="E14" s="39" t="s">
        <v>61</v>
      </c>
      <c r="F14" s="40" t="n">
        <f aca="false">F13+1</f>
        <v>8</v>
      </c>
      <c r="G14" s="41" t="n">
        <f aca="false">G12</f>
        <v>46011</v>
      </c>
      <c r="H14" s="42" t="n">
        <f aca="false">H12</f>
        <v>1</v>
      </c>
      <c r="I14" s="41"/>
      <c r="J14" s="43"/>
      <c r="K14" s="42" t="n">
        <v>1</v>
      </c>
      <c r="L14" s="44" t="n">
        <v>-1</v>
      </c>
      <c r="M14" s="35" t="s">
        <v>74</v>
      </c>
      <c r="N14" s="45" t="s">
        <v>63</v>
      </c>
      <c r="O14" s="37" t="s">
        <v>68</v>
      </c>
      <c r="P14" s="46"/>
      <c r="Q14" s="46" t="n">
        <f aca="false">6*3600</f>
        <v>21600</v>
      </c>
      <c r="R14" s="30"/>
      <c r="S14" s="46" t="s">
        <v>66</v>
      </c>
      <c r="T14" s="47" t="n">
        <v>160</v>
      </c>
    </row>
    <row r="15" customFormat="false" ht="15" hidden="false" customHeight="false" outlineLevel="0" collapsed="false">
      <c r="A15" s="36" t="n">
        <f aca="false">A13</f>
        <v>1</v>
      </c>
      <c r="B15" s="33" t="n">
        <f aca="false">B13</f>
        <v>46011</v>
      </c>
      <c r="C15" s="37" t="n">
        <v>2025002</v>
      </c>
      <c r="D15" s="38" t="n">
        <f aca="false">D14+1</f>
        <v>8</v>
      </c>
      <c r="E15" s="39" t="s">
        <v>61</v>
      </c>
      <c r="F15" s="40" t="n">
        <f aca="false">F14+1</f>
        <v>9</v>
      </c>
      <c r="G15" s="41" t="n">
        <f aca="false">G13</f>
        <v>46011</v>
      </c>
      <c r="H15" s="42" t="n">
        <f aca="false">H13</f>
        <v>1</v>
      </c>
      <c r="I15" s="41"/>
      <c r="J15" s="43"/>
      <c r="K15" s="42" t="n">
        <v>1</v>
      </c>
      <c r="L15" s="44" t="n">
        <v>-1</v>
      </c>
      <c r="M15" s="35" t="s">
        <v>75</v>
      </c>
      <c r="N15" s="45" t="s">
        <v>63</v>
      </c>
      <c r="O15" s="37" t="s">
        <v>68</v>
      </c>
      <c r="P15" s="46"/>
      <c r="Q15" s="46" t="n">
        <f aca="false">6*3600</f>
        <v>21600</v>
      </c>
      <c r="R15" s="30"/>
      <c r="S15" s="46" t="s">
        <v>66</v>
      </c>
      <c r="T15" s="47" t="n">
        <v>160</v>
      </c>
    </row>
    <row r="16" customFormat="false" ht="15" hidden="false" customHeight="false" outlineLevel="0" collapsed="false">
      <c r="A16" s="36" t="n">
        <f aca="false">A15</f>
        <v>1</v>
      </c>
      <c r="B16" s="33" t="n">
        <f aca="false">B15</f>
        <v>46011</v>
      </c>
      <c r="C16" s="37" t="n">
        <v>2025002</v>
      </c>
      <c r="D16" s="38" t="n">
        <f aca="false">D15+1</f>
        <v>9</v>
      </c>
      <c r="E16" s="39" t="s">
        <v>61</v>
      </c>
      <c r="F16" s="40" t="n">
        <f aca="false">F15+1</f>
        <v>10</v>
      </c>
      <c r="G16" s="41" t="n">
        <f aca="false">G15</f>
        <v>46011</v>
      </c>
      <c r="H16" s="42" t="n">
        <f aca="false">H15</f>
        <v>1</v>
      </c>
      <c r="I16" s="41"/>
      <c r="J16" s="43"/>
      <c r="K16" s="42" t="n">
        <v>1</v>
      </c>
      <c r="L16" s="44" t="n">
        <v>-1</v>
      </c>
      <c r="M16" s="35" t="s">
        <v>76</v>
      </c>
      <c r="N16" s="45" t="s">
        <v>63</v>
      </c>
      <c r="O16" s="37" t="s">
        <v>68</v>
      </c>
      <c r="P16" s="46"/>
      <c r="Q16" s="46" t="n">
        <f aca="false">6*3600</f>
        <v>21600</v>
      </c>
      <c r="R16" s="30"/>
      <c r="S16" s="46" t="s">
        <v>66</v>
      </c>
      <c r="T16" s="47" t="n">
        <v>160</v>
      </c>
    </row>
    <row r="17" customFormat="false" ht="15" hidden="false" customHeight="false" outlineLevel="0" collapsed="false">
      <c r="A17" s="36" t="n">
        <f aca="false">A16</f>
        <v>1</v>
      </c>
      <c r="B17" s="33" t="n">
        <f aca="false">B16</f>
        <v>46011</v>
      </c>
      <c r="C17" s="37" t="n">
        <v>2025002</v>
      </c>
      <c r="D17" s="38" t="n">
        <f aca="false">D16+1</f>
        <v>10</v>
      </c>
      <c r="E17" s="39" t="s">
        <v>61</v>
      </c>
      <c r="F17" s="40" t="n">
        <f aca="false">F16+1</f>
        <v>11</v>
      </c>
      <c r="G17" s="41" t="n">
        <f aca="false">G16</f>
        <v>46011</v>
      </c>
      <c r="H17" s="42" t="n">
        <f aca="false">H16</f>
        <v>1</v>
      </c>
      <c r="I17" s="41"/>
      <c r="J17" s="43"/>
      <c r="K17" s="42" t="n">
        <v>1</v>
      </c>
      <c r="L17" s="44" t="n">
        <v>-1</v>
      </c>
      <c r="M17" s="35" t="s">
        <v>77</v>
      </c>
      <c r="N17" s="45" t="s">
        <v>63</v>
      </c>
      <c r="O17" s="37" t="s">
        <v>68</v>
      </c>
      <c r="P17" s="46"/>
      <c r="Q17" s="46" t="n">
        <f aca="false">6*3600</f>
        <v>21600</v>
      </c>
      <c r="R17" s="30"/>
      <c r="S17" s="46" t="s">
        <v>66</v>
      </c>
      <c r="T17" s="47" t="n">
        <v>160</v>
      </c>
    </row>
    <row r="18" customFormat="false" ht="15" hidden="false" customHeight="false" outlineLevel="0" collapsed="false">
      <c r="A18" s="36" t="n">
        <f aca="false">A17</f>
        <v>1</v>
      </c>
      <c r="B18" s="33" t="n">
        <f aca="false">B17</f>
        <v>46011</v>
      </c>
      <c r="C18" s="37" t="n">
        <v>2025002</v>
      </c>
      <c r="D18" s="38" t="n">
        <f aca="false">D17+1</f>
        <v>11</v>
      </c>
      <c r="E18" s="39" t="s">
        <v>61</v>
      </c>
      <c r="F18" s="40" t="n">
        <f aca="false">F17+1</f>
        <v>12</v>
      </c>
      <c r="G18" s="41" t="n">
        <f aca="false">G17</f>
        <v>46011</v>
      </c>
      <c r="H18" s="42" t="n">
        <f aca="false">H17</f>
        <v>1</v>
      </c>
      <c r="I18" s="41"/>
      <c r="J18" s="43"/>
      <c r="K18" s="42" t="n">
        <v>1</v>
      </c>
      <c r="L18" s="44" t="n">
        <v>-1</v>
      </c>
      <c r="M18" s="35" t="s">
        <v>78</v>
      </c>
      <c r="N18" s="45" t="s">
        <v>63</v>
      </c>
      <c r="O18" s="37" t="s">
        <v>68</v>
      </c>
      <c r="Q18" s="46" t="n">
        <f aca="false">6*3600</f>
        <v>21600</v>
      </c>
      <c r="R18" s="30"/>
      <c r="S18" s="46" t="s">
        <v>66</v>
      </c>
      <c r="T18" s="47" t="n">
        <v>160</v>
      </c>
    </row>
    <row r="19" customFormat="false" ht="15" hidden="false" customHeight="false" outlineLevel="0" collapsed="false">
      <c r="A19" s="36" t="n">
        <f aca="false">A18</f>
        <v>1</v>
      </c>
      <c r="B19" s="33" t="n">
        <f aca="false">B18</f>
        <v>46011</v>
      </c>
      <c r="C19" s="37" t="n">
        <v>2025002</v>
      </c>
      <c r="D19" s="38" t="n">
        <f aca="false">D18+1</f>
        <v>12</v>
      </c>
      <c r="E19" s="39" t="s">
        <v>61</v>
      </c>
      <c r="F19" s="40" t="n">
        <f aca="false">F18+1</f>
        <v>13</v>
      </c>
      <c r="G19" s="41" t="n">
        <f aca="false">G18</f>
        <v>46011</v>
      </c>
      <c r="H19" s="42" t="n">
        <f aca="false">H18</f>
        <v>1</v>
      </c>
      <c r="I19" s="41"/>
      <c r="J19" s="43"/>
      <c r="K19" s="42" t="n">
        <v>1</v>
      </c>
      <c r="L19" s="44" t="n">
        <v>-1</v>
      </c>
      <c r="M19" s="35" t="s">
        <v>79</v>
      </c>
      <c r="N19" s="45" t="s">
        <v>63</v>
      </c>
      <c r="O19" s="37" t="s">
        <v>68</v>
      </c>
      <c r="P19" s="46"/>
      <c r="Q19" s="46" t="n">
        <f aca="false">6*3600</f>
        <v>21600</v>
      </c>
      <c r="R19" s="30"/>
      <c r="S19" s="46" t="s">
        <v>66</v>
      </c>
      <c r="T19" s="47" t="n">
        <v>160</v>
      </c>
    </row>
    <row r="20" customFormat="false" ht="15" hidden="false" customHeight="false" outlineLevel="0" collapsed="false">
      <c r="A20" s="36" t="n">
        <f aca="false">A19</f>
        <v>1</v>
      </c>
      <c r="B20" s="33" t="n">
        <f aca="false">B19</f>
        <v>46011</v>
      </c>
      <c r="C20" s="37" t="n">
        <v>2025002</v>
      </c>
      <c r="D20" s="38" t="n">
        <f aca="false">D19+1</f>
        <v>13</v>
      </c>
      <c r="E20" s="39" t="s">
        <v>61</v>
      </c>
      <c r="F20" s="40" t="n">
        <f aca="false">F19+1</f>
        <v>14</v>
      </c>
      <c r="G20" s="41" t="n">
        <f aca="false">G19</f>
        <v>46011</v>
      </c>
      <c r="H20" s="42" t="n">
        <f aca="false">H19</f>
        <v>1</v>
      </c>
      <c r="I20" s="41"/>
      <c r="J20" s="43"/>
      <c r="K20" s="42" t="n">
        <v>1</v>
      </c>
      <c r="L20" s="44" t="n">
        <v>-1</v>
      </c>
      <c r="M20" s="35" t="s">
        <v>80</v>
      </c>
      <c r="N20" s="45" t="s">
        <v>63</v>
      </c>
      <c r="O20" s="37" t="s">
        <v>68</v>
      </c>
      <c r="P20" s="46"/>
      <c r="Q20" s="46" t="n">
        <f aca="false">6*3600</f>
        <v>21600</v>
      </c>
      <c r="R20" s="30"/>
      <c r="S20" s="46" t="s">
        <v>66</v>
      </c>
      <c r="T20" s="47" t="n">
        <v>160</v>
      </c>
    </row>
    <row r="21" customFormat="false" ht="15" hidden="false" customHeight="false" outlineLevel="0" collapsed="false">
      <c r="A21" s="36" t="n">
        <f aca="false">A20</f>
        <v>1</v>
      </c>
      <c r="B21" s="33" t="n">
        <f aca="false">B20</f>
        <v>46011</v>
      </c>
      <c r="C21" s="37" t="n">
        <v>2025002</v>
      </c>
      <c r="D21" s="38" t="n">
        <f aca="false">D20+1</f>
        <v>14</v>
      </c>
      <c r="E21" s="39" t="s">
        <v>61</v>
      </c>
      <c r="F21" s="40" t="n">
        <f aca="false">F20+1</f>
        <v>15</v>
      </c>
      <c r="G21" s="41" t="n">
        <f aca="false">G20</f>
        <v>46011</v>
      </c>
      <c r="H21" s="42" t="n">
        <f aca="false">H20</f>
        <v>1</v>
      </c>
      <c r="I21" s="41"/>
      <c r="J21" s="43"/>
      <c r="K21" s="42" t="n">
        <v>1</v>
      </c>
      <c r="L21" s="44" t="n">
        <v>-1</v>
      </c>
      <c r="M21" s="35" t="s">
        <v>81</v>
      </c>
      <c r="N21" s="45" t="s">
        <v>63</v>
      </c>
      <c r="O21" s="37" t="s">
        <v>68</v>
      </c>
      <c r="P21" s="46"/>
      <c r="Q21" s="46" t="n">
        <f aca="false">6*3600</f>
        <v>21600</v>
      </c>
      <c r="R21" s="30"/>
      <c r="S21" s="46" t="s">
        <v>66</v>
      </c>
      <c r="T21" s="47" t="n">
        <v>160</v>
      </c>
    </row>
    <row r="22" customFormat="false" ht="15" hidden="false" customHeight="false" outlineLevel="0" collapsed="false">
      <c r="M22" s="35"/>
    </row>
    <row r="23" customFormat="false" ht="15" hidden="false" customHeight="false" outlineLevel="0" collapsed="false">
      <c r="A23" s="36" t="n">
        <v>1</v>
      </c>
      <c r="B23" s="33" t="n">
        <v>46012</v>
      </c>
      <c r="C23" s="37" t="n">
        <v>2025001</v>
      </c>
      <c r="D23" s="38" t="n">
        <v>5</v>
      </c>
      <c r="E23" s="39" t="s">
        <v>61</v>
      </c>
      <c r="F23" s="40" t="n">
        <v>1</v>
      </c>
      <c r="G23" s="41" t="n">
        <f aca="false">B23</f>
        <v>46012</v>
      </c>
      <c r="H23" s="42" t="n">
        <f aca="false">F23</f>
        <v>1</v>
      </c>
      <c r="I23" s="41"/>
      <c r="J23" s="43"/>
      <c r="K23" s="42" t="n">
        <v>1</v>
      </c>
      <c r="L23" s="44" t="n">
        <v>-1</v>
      </c>
      <c r="M23" s="35" t="s">
        <v>82</v>
      </c>
      <c r="N23" s="45" t="s">
        <v>83</v>
      </c>
      <c r="O23" s="37" t="s">
        <v>64</v>
      </c>
      <c r="P23" s="46" t="s">
        <v>65</v>
      </c>
      <c r="Q23" s="46" t="n">
        <f aca="false">6*3600</f>
        <v>21600</v>
      </c>
      <c r="R23" s="30"/>
      <c r="S23" s="46" t="s">
        <v>66</v>
      </c>
      <c r="T23" s="47" t="n">
        <v>160</v>
      </c>
    </row>
    <row r="24" customFormat="false" ht="15" hidden="false" customHeight="false" outlineLevel="0" collapsed="false">
      <c r="A24" s="36" t="n">
        <f aca="false">A23</f>
        <v>1</v>
      </c>
      <c r="B24" s="33" t="n">
        <f aca="false">B23</f>
        <v>46012</v>
      </c>
      <c r="C24" s="37" t="n">
        <v>2025002</v>
      </c>
      <c r="D24" s="38" t="n">
        <v>2</v>
      </c>
      <c r="E24" s="39" t="s">
        <v>61</v>
      </c>
      <c r="F24" s="40" t="n">
        <f aca="false">F23+1</f>
        <v>2</v>
      </c>
      <c r="G24" s="41" t="n">
        <f aca="false">G23</f>
        <v>46012</v>
      </c>
      <c r="H24" s="42" t="n">
        <v>1</v>
      </c>
      <c r="I24" s="41"/>
      <c r="J24" s="43"/>
      <c r="K24" s="42" t="n">
        <v>1</v>
      </c>
      <c r="L24" s="44" t="n">
        <v>-1</v>
      </c>
      <c r="M24" s="35" t="s">
        <v>84</v>
      </c>
      <c r="N24" s="45" t="s">
        <v>83</v>
      </c>
      <c r="O24" s="37" t="s">
        <v>68</v>
      </c>
      <c r="P24" s="46"/>
      <c r="Q24" s="46" t="n">
        <f aca="false">6*3600</f>
        <v>21600</v>
      </c>
      <c r="R24" s="30"/>
      <c r="S24" s="46" t="s">
        <v>66</v>
      </c>
      <c r="T24" s="47" t="n">
        <v>160</v>
      </c>
    </row>
    <row r="25" customFormat="false" ht="15" hidden="false" customHeight="false" outlineLevel="0" collapsed="false">
      <c r="A25" s="36" t="n">
        <f aca="false">A24</f>
        <v>1</v>
      </c>
      <c r="B25" s="33" t="n">
        <f aca="false">B24</f>
        <v>46012</v>
      </c>
      <c r="C25" s="37" t="n">
        <v>2025002</v>
      </c>
      <c r="D25" s="38" t="n">
        <f aca="false">D24+1</f>
        <v>3</v>
      </c>
      <c r="E25" s="39" t="s">
        <v>61</v>
      </c>
      <c r="F25" s="40" t="n">
        <f aca="false">F24+1</f>
        <v>3</v>
      </c>
      <c r="G25" s="41" t="n">
        <f aca="false">G24</f>
        <v>46012</v>
      </c>
      <c r="H25" s="42" t="n">
        <f aca="false">H24</f>
        <v>1</v>
      </c>
      <c r="I25" s="41"/>
      <c r="J25" s="43"/>
      <c r="K25" s="42" t="n">
        <v>1</v>
      </c>
      <c r="L25" s="44" t="n">
        <v>-1</v>
      </c>
      <c r="M25" s="35" t="s">
        <v>85</v>
      </c>
      <c r="N25" s="45" t="s">
        <v>83</v>
      </c>
      <c r="O25" s="37" t="s">
        <v>68</v>
      </c>
      <c r="P25" s="46"/>
      <c r="Q25" s="46" t="n">
        <f aca="false">6*3600</f>
        <v>21600</v>
      </c>
      <c r="R25" s="30"/>
      <c r="S25" s="46" t="s">
        <v>66</v>
      </c>
      <c r="T25" s="47" t="n">
        <v>160</v>
      </c>
    </row>
    <row r="26" customFormat="false" ht="15" hidden="false" customHeight="false" outlineLevel="0" collapsed="false">
      <c r="A26" s="36" t="n">
        <f aca="false">A25</f>
        <v>1</v>
      </c>
      <c r="B26" s="33" t="n">
        <f aca="false">B25</f>
        <v>46012</v>
      </c>
      <c r="C26" s="37" t="n">
        <v>2025002</v>
      </c>
      <c r="D26" s="38" t="n">
        <f aca="false">D25+1</f>
        <v>4</v>
      </c>
      <c r="E26" s="39" t="s">
        <v>61</v>
      </c>
      <c r="F26" s="40" t="n">
        <f aca="false">F25+1</f>
        <v>4</v>
      </c>
      <c r="G26" s="41" t="n">
        <f aca="false">G25</f>
        <v>46012</v>
      </c>
      <c r="H26" s="42" t="n">
        <f aca="false">H25</f>
        <v>1</v>
      </c>
      <c r="I26" s="41"/>
      <c r="J26" s="43"/>
      <c r="K26" s="42" t="n">
        <v>1</v>
      </c>
      <c r="L26" s="44" t="n">
        <v>-1</v>
      </c>
      <c r="M26" s="35" t="s">
        <v>86</v>
      </c>
      <c r="N26" s="45" t="s">
        <v>83</v>
      </c>
      <c r="O26" s="37" t="s">
        <v>68</v>
      </c>
      <c r="P26" s="46"/>
      <c r="Q26" s="46" t="n">
        <f aca="false">6*3600</f>
        <v>21600</v>
      </c>
      <c r="R26" s="30"/>
      <c r="S26" s="46" t="s">
        <v>66</v>
      </c>
      <c r="T26" s="47" t="n">
        <v>160</v>
      </c>
    </row>
    <row r="27" customFormat="false" ht="15" hidden="false" customHeight="false" outlineLevel="0" collapsed="false">
      <c r="A27" s="36" t="n">
        <f aca="false">A26</f>
        <v>1</v>
      </c>
      <c r="B27" s="33" t="n">
        <f aca="false">B26</f>
        <v>46012</v>
      </c>
      <c r="C27" s="37" t="n">
        <v>2025002</v>
      </c>
      <c r="D27" s="38" t="n">
        <f aca="false">D26+1</f>
        <v>5</v>
      </c>
      <c r="E27" s="39" t="s">
        <v>61</v>
      </c>
      <c r="F27" s="40" t="n">
        <f aca="false">F26+1</f>
        <v>5</v>
      </c>
      <c r="G27" s="41" t="n">
        <f aca="false">G26</f>
        <v>46012</v>
      </c>
      <c r="H27" s="42" t="n">
        <f aca="false">H26</f>
        <v>1</v>
      </c>
      <c r="I27" s="41"/>
      <c r="J27" s="43"/>
      <c r="K27" s="42" t="n">
        <v>1</v>
      </c>
      <c r="L27" s="44" t="n">
        <v>-1</v>
      </c>
      <c r="M27" s="35" t="s">
        <v>87</v>
      </c>
      <c r="N27" s="45" t="s">
        <v>83</v>
      </c>
      <c r="O27" s="37" t="s">
        <v>68</v>
      </c>
      <c r="P27" s="46"/>
      <c r="Q27" s="46" t="n">
        <f aca="false">6*3600</f>
        <v>21600</v>
      </c>
      <c r="R27" s="30"/>
      <c r="S27" s="46" t="s">
        <v>66</v>
      </c>
      <c r="T27" s="47" t="n">
        <v>160</v>
      </c>
    </row>
    <row r="28" customFormat="false" ht="15" hidden="false" customHeight="false" outlineLevel="0" collapsed="false">
      <c r="A28" s="36" t="n">
        <f aca="false">A27</f>
        <v>1</v>
      </c>
      <c r="B28" s="33" t="n">
        <f aca="false">B27</f>
        <v>46012</v>
      </c>
      <c r="C28" s="37" t="n">
        <v>2025002</v>
      </c>
      <c r="D28" s="38" t="n">
        <f aca="false">D27+1</f>
        <v>6</v>
      </c>
      <c r="E28" s="39" t="s">
        <v>61</v>
      </c>
      <c r="F28" s="40" t="n">
        <f aca="false">F27+1</f>
        <v>6</v>
      </c>
      <c r="G28" s="41" t="n">
        <f aca="false">G27</f>
        <v>46012</v>
      </c>
      <c r="H28" s="42" t="n">
        <f aca="false">H27</f>
        <v>1</v>
      </c>
      <c r="I28" s="41"/>
      <c r="J28" s="43"/>
      <c r="K28" s="42" t="n">
        <v>1</v>
      </c>
      <c r="L28" s="44" t="n">
        <v>-1</v>
      </c>
      <c r="M28" s="35" t="s">
        <v>88</v>
      </c>
      <c r="N28" s="45" t="s">
        <v>83</v>
      </c>
      <c r="O28" s="37" t="s">
        <v>68</v>
      </c>
      <c r="P28" s="46"/>
      <c r="Q28" s="46" t="n">
        <f aca="false">6*3600</f>
        <v>21600</v>
      </c>
      <c r="R28" s="30"/>
      <c r="S28" s="46" t="s">
        <v>66</v>
      </c>
      <c r="T28" s="47" t="n">
        <v>160</v>
      </c>
    </row>
    <row r="29" customFormat="false" ht="15" hidden="false" customHeight="false" outlineLevel="0" collapsed="false">
      <c r="A29" s="36" t="n">
        <f aca="false">A28</f>
        <v>1</v>
      </c>
      <c r="B29" s="33" t="n">
        <f aca="false">B28</f>
        <v>46012</v>
      </c>
      <c r="C29" s="37" t="n">
        <v>2025002</v>
      </c>
      <c r="D29" s="38" t="n">
        <f aca="false">D28+1</f>
        <v>7</v>
      </c>
      <c r="E29" s="39" t="s">
        <v>61</v>
      </c>
      <c r="F29" s="40" t="n">
        <f aca="false">F28+1</f>
        <v>7</v>
      </c>
      <c r="G29" s="41" t="n">
        <f aca="false">G28</f>
        <v>46012</v>
      </c>
      <c r="H29" s="42" t="n">
        <f aca="false">H28</f>
        <v>1</v>
      </c>
      <c r="I29" s="41"/>
      <c r="J29" s="43"/>
      <c r="K29" s="42" t="n">
        <v>1</v>
      </c>
      <c r="L29" s="44" t="n">
        <v>-1</v>
      </c>
      <c r="M29" s="35" t="s">
        <v>89</v>
      </c>
      <c r="N29" s="45" t="s">
        <v>83</v>
      </c>
      <c r="O29" s="37" t="s">
        <v>68</v>
      </c>
      <c r="P29" s="46"/>
      <c r="Q29" s="46" t="n">
        <f aca="false">6*3600</f>
        <v>21600</v>
      </c>
      <c r="R29" s="30"/>
      <c r="S29" s="46" t="s">
        <v>66</v>
      </c>
      <c r="T29" s="47" t="n">
        <v>160</v>
      </c>
    </row>
    <row r="30" customFormat="false" ht="15" hidden="false" customHeight="false" outlineLevel="0" collapsed="false">
      <c r="A30" s="36" t="n">
        <f aca="false">A28</f>
        <v>1</v>
      </c>
      <c r="B30" s="33" t="n">
        <f aca="false">B28</f>
        <v>46012</v>
      </c>
      <c r="C30" s="37" t="n">
        <v>2025002</v>
      </c>
      <c r="D30" s="38" t="n">
        <f aca="false">D29+1</f>
        <v>8</v>
      </c>
      <c r="E30" s="39" t="s">
        <v>61</v>
      </c>
      <c r="F30" s="40" t="n">
        <f aca="false">F29+1</f>
        <v>8</v>
      </c>
      <c r="G30" s="41" t="n">
        <f aca="false">G28</f>
        <v>46012</v>
      </c>
      <c r="H30" s="42" t="n">
        <f aca="false">H28</f>
        <v>1</v>
      </c>
      <c r="I30" s="41"/>
      <c r="J30" s="43"/>
      <c r="K30" s="42" t="n">
        <v>1</v>
      </c>
      <c r="L30" s="44" t="n">
        <v>-1</v>
      </c>
      <c r="M30" s="35" t="s">
        <v>90</v>
      </c>
      <c r="N30" s="45" t="s">
        <v>83</v>
      </c>
      <c r="O30" s="37" t="s">
        <v>68</v>
      </c>
      <c r="P30" s="46"/>
      <c r="Q30" s="46" t="n">
        <f aca="false">6*3600</f>
        <v>21600</v>
      </c>
      <c r="R30" s="30"/>
      <c r="S30" s="46" t="s">
        <v>66</v>
      </c>
      <c r="T30" s="47" t="n">
        <v>160</v>
      </c>
    </row>
    <row r="31" customFormat="false" ht="15" hidden="false" customHeight="false" outlineLevel="0" collapsed="false">
      <c r="A31" s="36" t="n">
        <f aca="false">A29</f>
        <v>1</v>
      </c>
      <c r="B31" s="33" t="n">
        <f aca="false">B29</f>
        <v>46012</v>
      </c>
      <c r="C31" s="37" t="n">
        <v>2025002</v>
      </c>
      <c r="D31" s="38" t="n">
        <f aca="false">D30+1</f>
        <v>9</v>
      </c>
      <c r="E31" s="39" t="s">
        <v>61</v>
      </c>
      <c r="F31" s="40" t="n">
        <f aca="false">F30+1</f>
        <v>9</v>
      </c>
      <c r="G31" s="41" t="n">
        <f aca="false">G29</f>
        <v>46012</v>
      </c>
      <c r="H31" s="42" t="n">
        <f aca="false">H29</f>
        <v>1</v>
      </c>
      <c r="I31" s="41"/>
      <c r="J31" s="43"/>
      <c r="K31" s="42" t="n">
        <v>1</v>
      </c>
      <c r="L31" s="44" t="n">
        <v>-1</v>
      </c>
      <c r="M31" s="35" t="s">
        <v>91</v>
      </c>
      <c r="N31" s="45" t="s">
        <v>83</v>
      </c>
      <c r="O31" s="37" t="s">
        <v>68</v>
      </c>
      <c r="P31" s="46"/>
      <c r="Q31" s="46" t="n">
        <f aca="false">6*3600</f>
        <v>21600</v>
      </c>
      <c r="R31" s="30"/>
      <c r="S31" s="46" t="s">
        <v>66</v>
      </c>
      <c r="T31" s="47" t="n">
        <v>160</v>
      </c>
    </row>
    <row r="32" customFormat="false" ht="15" hidden="false" customHeight="false" outlineLevel="0" collapsed="false">
      <c r="A32" s="36" t="n">
        <f aca="false">A31</f>
        <v>1</v>
      </c>
      <c r="B32" s="33" t="n">
        <f aca="false">B31</f>
        <v>46012</v>
      </c>
      <c r="C32" s="37" t="n">
        <v>2025002</v>
      </c>
      <c r="D32" s="38" t="n">
        <f aca="false">D31+1</f>
        <v>10</v>
      </c>
      <c r="E32" s="39" t="s">
        <v>61</v>
      </c>
      <c r="F32" s="40" t="n">
        <f aca="false">F31+1</f>
        <v>10</v>
      </c>
      <c r="G32" s="41" t="n">
        <f aca="false">G31</f>
        <v>46012</v>
      </c>
      <c r="H32" s="42" t="n">
        <f aca="false">H31</f>
        <v>1</v>
      </c>
      <c r="I32" s="41"/>
      <c r="J32" s="43"/>
      <c r="K32" s="42" t="n">
        <v>1</v>
      </c>
      <c r="L32" s="44" t="n">
        <v>-1</v>
      </c>
      <c r="M32" s="35" t="s">
        <v>92</v>
      </c>
      <c r="N32" s="45" t="s">
        <v>83</v>
      </c>
      <c r="O32" s="37" t="s">
        <v>68</v>
      </c>
      <c r="P32" s="46"/>
      <c r="Q32" s="46" t="n">
        <f aca="false">6*3600</f>
        <v>21600</v>
      </c>
      <c r="R32" s="30"/>
      <c r="S32" s="46" t="s">
        <v>66</v>
      </c>
      <c r="T32" s="47" t="n">
        <v>160</v>
      </c>
    </row>
    <row r="33" customFormat="false" ht="15" hidden="false" customHeight="false" outlineLevel="0" collapsed="false">
      <c r="A33" s="36" t="n">
        <f aca="false">A32</f>
        <v>1</v>
      </c>
      <c r="B33" s="33" t="n">
        <f aca="false">B32</f>
        <v>46012</v>
      </c>
      <c r="C33" s="37" t="n">
        <v>2025002</v>
      </c>
      <c r="D33" s="38" t="n">
        <f aca="false">D32+1</f>
        <v>11</v>
      </c>
      <c r="E33" s="39" t="s">
        <v>61</v>
      </c>
      <c r="F33" s="40" t="n">
        <f aca="false">F32+1</f>
        <v>11</v>
      </c>
      <c r="G33" s="41" t="n">
        <f aca="false">G32</f>
        <v>46012</v>
      </c>
      <c r="H33" s="42" t="n">
        <f aca="false">H32</f>
        <v>1</v>
      </c>
      <c r="I33" s="41"/>
      <c r="J33" s="43"/>
      <c r="K33" s="42" t="n">
        <v>1</v>
      </c>
      <c r="L33" s="44" t="n">
        <v>-1</v>
      </c>
      <c r="M33" s="35" t="s">
        <v>93</v>
      </c>
      <c r="N33" s="45" t="s">
        <v>83</v>
      </c>
      <c r="O33" s="37" t="s">
        <v>68</v>
      </c>
      <c r="P33" s="46"/>
      <c r="Q33" s="46" t="n">
        <f aca="false">6*3600</f>
        <v>21600</v>
      </c>
      <c r="R33" s="30"/>
      <c r="S33" s="46" t="s">
        <v>94</v>
      </c>
      <c r="T33" s="47" t="s">
        <v>95</v>
      </c>
    </row>
    <row r="34" customFormat="false" ht="15" hidden="false" customHeight="false" outlineLevel="0" collapsed="false">
      <c r="A34" s="36" t="n">
        <f aca="false">A33</f>
        <v>1</v>
      </c>
      <c r="B34" s="33" t="n">
        <f aca="false">B33</f>
        <v>46012</v>
      </c>
      <c r="C34" s="37" t="n">
        <v>2025002</v>
      </c>
      <c r="D34" s="38" t="n">
        <f aca="false">D33+1</f>
        <v>12</v>
      </c>
      <c r="E34" s="39" t="s">
        <v>61</v>
      </c>
      <c r="F34" s="40" t="n">
        <f aca="false">F33+1</f>
        <v>12</v>
      </c>
      <c r="G34" s="41" t="n">
        <f aca="false">G33</f>
        <v>46012</v>
      </c>
      <c r="H34" s="42" t="n">
        <f aca="false">H33</f>
        <v>1</v>
      </c>
      <c r="I34" s="41"/>
      <c r="J34" s="43"/>
      <c r="K34" s="42" t="n">
        <v>1</v>
      </c>
      <c r="L34" s="44" t="n">
        <v>-1</v>
      </c>
      <c r="M34" s="35" t="s">
        <v>96</v>
      </c>
      <c r="N34" s="45" t="s">
        <v>83</v>
      </c>
      <c r="O34" s="37" t="s">
        <v>68</v>
      </c>
      <c r="Q34" s="46" t="n">
        <f aca="false">6*3600</f>
        <v>21600</v>
      </c>
      <c r="R34" s="30"/>
      <c r="S34" s="46" t="s">
        <v>94</v>
      </c>
      <c r="T34" s="47" t="s">
        <v>97</v>
      </c>
    </row>
    <row r="35" customFormat="false" ht="15" hidden="false" customHeight="false" outlineLevel="0" collapsed="false">
      <c r="A35" s="36" t="n">
        <f aca="false">A34</f>
        <v>1</v>
      </c>
      <c r="B35" s="33" t="n">
        <f aca="false">B34</f>
        <v>46012</v>
      </c>
      <c r="C35" s="37" t="n">
        <v>2025002</v>
      </c>
      <c r="D35" s="38" t="n">
        <f aca="false">D34+1</f>
        <v>13</v>
      </c>
      <c r="E35" s="39" t="s">
        <v>61</v>
      </c>
      <c r="F35" s="40" t="n">
        <f aca="false">F34+1</f>
        <v>13</v>
      </c>
      <c r="G35" s="41" t="n">
        <f aca="false">G34</f>
        <v>46012</v>
      </c>
      <c r="H35" s="42" t="n">
        <f aca="false">H34</f>
        <v>1</v>
      </c>
      <c r="I35" s="41"/>
      <c r="J35" s="43"/>
      <c r="K35" s="42" t="n">
        <v>1</v>
      </c>
      <c r="L35" s="44" t="n">
        <v>-1</v>
      </c>
      <c r="M35" s="35" t="s">
        <v>98</v>
      </c>
      <c r="N35" s="45" t="s">
        <v>83</v>
      </c>
      <c r="O35" s="37" t="s">
        <v>68</v>
      </c>
      <c r="P35" s="46"/>
      <c r="Q35" s="46" t="n">
        <f aca="false">6*3600</f>
        <v>21600</v>
      </c>
      <c r="R35" s="30"/>
      <c r="S35" s="46" t="s">
        <v>94</v>
      </c>
      <c r="T35" s="47" t="s">
        <v>97</v>
      </c>
    </row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A1:A5 A7:A21 A23:A35">
    <cfRule type="cellIs" priority="2" operator="equal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true" showInputMessage="true" sqref="A7:A21 A23:A35" type="list">
      <formula1>"0,1"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T65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153" activePane="bottomLeft" state="frozen"/>
      <selection pane="topLeft" activeCell="A1" activeCellId="0" sqref="A1"/>
      <selection pane="bottomLeft" activeCell="D183" activeCellId="1" sqref="S7:T21 D183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48" width="7.42"/>
    <col collapsed="false" customWidth="true" hidden="false" outlineLevel="0" max="2" min="2" style="4" width="24.42"/>
    <col collapsed="false" customWidth="true" hidden="false" outlineLevel="0" max="3" min="3" style="48" width="9.57"/>
    <col collapsed="false" customWidth="true" hidden="false" outlineLevel="0" max="7" min="4" style="48" width="9.86"/>
    <col collapsed="false" customWidth="true" hidden="false" outlineLevel="0" max="8" min="8" style="24" width="9.86"/>
    <col collapsed="false" customWidth="true" hidden="false" outlineLevel="0" max="9" min="9" style="24" width="12"/>
  </cols>
  <sheetData>
    <row r="3" s="50" customFormat="true" ht="15" hidden="false" customHeight="false" outlineLevel="0" collapsed="false">
      <c r="A3" s="49"/>
      <c r="B3" s="50" t="s">
        <v>49</v>
      </c>
      <c r="C3" s="51" t="s">
        <v>99</v>
      </c>
      <c r="D3" s="52" t="s">
        <v>100</v>
      </c>
      <c r="E3" s="52" t="s">
        <v>101</v>
      </c>
      <c r="F3" s="52" t="s">
        <v>102</v>
      </c>
      <c r="G3" s="52" t="s">
        <v>103</v>
      </c>
      <c r="H3" s="50" t="s">
        <v>104</v>
      </c>
      <c r="I3" s="50" t="s">
        <v>105</v>
      </c>
      <c r="J3" s="50" t="s">
        <v>106</v>
      </c>
      <c r="K3" s="50" t="s">
        <v>107</v>
      </c>
    </row>
    <row r="4" s="50" customFormat="true" ht="15" hidden="false" customHeight="false" outlineLevel="0" collapsed="false">
      <c r="A4" s="51" t="s">
        <v>108</v>
      </c>
      <c r="C4" s="50" t="n">
        <v>0</v>
      </c>
      <c r="D4" s="52" t="n">
        <v>0</v>
      </c>
      <c r="E4" s="53" t="n">
        <v>0</v>
      </c>
      <c r="F4" s="50" t="s">
        <v>109</v>
      </c>
      <c r="G4" s="52" t="s">
        <v>110</v>
      </c>
    </row>
    <row r="5" customFormat="false" ht="15" hidden="false" customHeight="false" outlineLevel="0" collapsed="false">
      <c r="A5" s="54" t="s">
        <v>111</v>
      </c>
      <c r="C5" s="48" t="n">
        <v>0</v>
      </c>
      <c r="D5" s="55" t="n">
        <v>1</v>
      </c>
      <c r="E5" s="55" t="n">
        <v>-0.0106</v>
      </c>
      <c r="F5" s="55"/>
      <c r="G5" s="55"/>
    </row>
    <row r="6" customFormat="false" ht="15" hidden="false" customHeight="false" outlineLevel="0" collapsed="false">
      <c r="A6" s="56" t="s">
        <v>112</v>
      </c>
      <c r="B6" s="57" t="s">
        <v>113</v>
      </c>
      <c r="C6" s="58" t="n">
        <v>15.9283</v>
      </c>
      <c r="D6" s="59" t="n">
        <f aca="false">57.06+$D$4</f>
        <v>57.06</v>
      </c>
      <c r="E6" s="60" t="n">
        <f aca="false">0+$E$4</f>
        <v>0</v>
      </c>
      <c r="F6" s="61" t="n">
        <v>70</v>
      </c>
      <c r="G6" s="62" t="n">
        <f aca="false">E6</f>
        <v>0</v>
      </c>
    </row>
    <row r="7" customFormat="false" ht="15" hidden="false" customHeight="false" outlineLevel="0" collapsed="false">
      <c r="A7" s="56"/>
      <c r="B7" s="57" t="s">
        <v>114</v>
      </c>
      <c r="C7" s="58" t="n">
        <v>15.937705922</v>
      </c>
      <c r="D7" s="63" t="n">
        <f aca="false">$D$6+(-11*$D$5)+$D$4</f>
        <v>46.06</v>
      </c>
      <c r="E7" s="64" t="n">
        <f aca="false">$E$6+$E$4+(D7-$D$6)*$E$5</f>
        <v>0.1166</v>
      </c>
      <c r="F7" s="58" t="n">
        <f aca="false">F6</f>
        <v>70</v>
      </c>
      <c r="G7" s="62" t="n">
        <f aca="false">E7</f>
        <v>0.1166</v>
      </c>
    </row>
    <row r="8" customFormat="false" ht="15" hidden="false" customHeight="false" outlineLevel="0" collapsed="false">
      <c r="A8" s="56"/>
      <c r="B8" s="57" t="s">
        <v>115</v>
      </c>
      <c r="C8" s="58" t="n">
        <v>15.937650568</v>
      </c>
      <c r="D8" s="63" t="n">
        <f aca="false">$D$6+(-22*$D$5)+$D$4</f>
        <v>35.06</v>
      </c>
      <c r="E8" s="64" t="n">
        <f aca="false">$E$6+$E$4+(D8-$D$6)*$E$5</f>
        <v>0.2332</v>
      </c>
      <c r="F8" s="58" t="n">
        <f aca="false">F7</f>
        <v>70</v>
      </c>
      <c r="G8" s="62" t="n">
        <f aca="false">E8</f>
        <v>0.2332</v>
      </c>
    </row>
    <row r="9" customFormat="false" ht="15" hidden="false" customHeight="false" outlineLevel="0" collapsed="false">
      <c r="A9" s="56"/>
      <c r="B9" s="57" t="s">
        <v>116</v>
      </c>
      <c r="C9" s="58" t="n">
        <v>15.9423922768</v>
      </c>
      <c r="D9" s="63" t="n">
        <f aca="false">$D$6+(-38.5*$D$5)+$D$4</f>
        <v>18.56</v>
      </c>
      <c r="E9" s="64" t="n">
        <f aca="false">$E$6+$E$4+(D9-$D$6)*$E$5</f>
        <v>0.4081</v>
      </c>
      <c r="F9" s="58" t="n">
        <f aca="false">F8</f>
        <v>70</v>
      </c>
      <c r="G9" s="62" t="n">
        <f aca="false">E9</f>
        <v>0.4081</v>
      </c>
    </row>
    <row r="10" customFormat="false" ht="15" hidden="false" customHeight="false" outlineLevel="0" collapsed="false">
      <c r="A10" s="56"/>
      <c r="B10" s="57" t="s">
        <v>117</v>
      </c>
      <c r="C10" s="58" t="n">
        <v>15.9376820772</v>
      </c>
      <c r="D10" s="63" t="n">
        <f aca="false">$D$6+(-49.5*$D$5)+$D$4</f>
        <v>7.56</v>
      </c>
      <c r="E10" s="64" t="n">
        <f aca="false">$E$6+$E$4+(D10-$D$6)*$E$5</f>
        <v>0.5247</v>
      </c>
      <c r="F10" s="61" t="n">
        <v>-60</v>
      </c>
      <c r="G10" s="62" t="n">
        <f aca="false">E10</f>
        <v>0.5247</v>
      </c>
    </row>
    <row r="11" customFormat="false" ht="15" hidden="false" customHeight="false" outlineLevel="0" collapsed="false">
      <c r="A11" s="56"/>
      <c r="B11" s="57" t="s">
        <v>118</v>
      </c>
      <c r="C11" s="58" t="n">
        <v>15.942325852</v>
      </c>
      <c r="D11" s="63" t="n">
        <f aca="false">$D$6+(-66*$D$5)+$D$4</f>
        <v>-8.94</v>
      </c>
      <c r="E11" s="64" t="n">
        <f aca="false">$E$6+$E$4+(D11-$D$6)*$E$5</f>
        <v>0.6996</v>
      </c>
      <c r="F11" s="58" t="n">
        <v>-60</v>
      </c>
      <c r="G11" s="62" t="n">
        <f aca="false">E11</f>
        <v>0.6996</v>
      </c>
    </row>
    <row r="12" customFormat="false" ht="15" hidden="false" customHeight="false" outlineLevel="0" collapsed="false">
      <c r="A12" s="56"/>
      <c r="B12" s="57" t="s">
        <v>119</v>
      </c>
      <c r="C12" s="58" t="n">
        <v>15.9376914448</v>
      </c>
      <c r="D12" s="63" t="n">
        <f aca="false">$D$6+(-77*$D$5)+$D$4</f>
        <v>-19.94</v>
      </c>
      <c r="E12" s="64" t="n">
        <f aca="false">$E$6+$E$4+(D12-$D$6)*$E$5</f>
        <v>0.8162</v>
      </c>
      <c r="F12" s="58" t="n">
        <v>-60</v>
      </c>
      <c r="G12" s="62" t="n">
        <f aca="false">E12</f>
        <v>0.8162</v>
      </c>
    </row>
    <row r="13" customFormat="false" ht="15" hidden="false" customHeight="false" outlineLevel="0" collapsed="false">
      <c r="A13" s="56"/>
      <c r="B13" s="57" t="s">
        <v>120</v>
      </c>
      <c r="C13" s="58" t="n">
        <v>15.9376522712</v>
      </c>
      <c r="D13" s="63" t="n">
        <f aca="false">$D$6+(-88*$D$5)+$D$4</f>
        <v>-30.94</v>
      </c>
      <c r="E13" s="64" t="n">
        <f aca="false">$E$6+$E$4+(D13-$D$6)*$E$5</f>
        <v>0.9328</v>
      </c>
      <c r="F13" s="58" t="n">
        <v>-60</v>
      </c>
      <c r="G13" s="62" t="n">
        <f aca="false">E13</f>
        <v>0.9328</v>
      </c>
    </row>
    <row r="14" customFormat="false" ht="15" hidden="false" customHeight="false" outlineLevel="0" collapsed="false">
      <c r="A14" s="56"/>
      <c r="B14" s="57" t="s">
        <v>121</v>
      </c>
      <c r="C14" s="58" t="n">
        <v>16.0783</v>
      </c>
      <c r="D14" s="63" t="n">
        <f aca="false">$D$6+(0*$D$5)+$D$4</f>
        <v>57.06</v>
      </c>
      <c r="E14" s="64" t="n">
        <f aca="false">$E$6+$E$4+(D14-$D$6)*$E$5+11</f>
        <v>11</v>
      </c>
      <c r="F14" s="61" t="n">
        <f aca="false">F6</f>
        <v>70</v>
      </c>
      <c r="G14" s="62" t="n">
        <f aca="false">E14</f>
        <v>11</v>
      </c>
    </row>
    <row r="15" customFormat="false" ht="15" hidden="false" customHeight="false" outlineLevel="0" collapsed="false">
      <c r="A15" s="56"/>
      <c r="B15" s="57" t="s">
        <v>122</v>
      </c>
      <c r="C15" s="58" t="n">
        <v>16.0974655336506</v>
      </c>
      <c r="D15" s="63" t="n">
        <f aca="false">$D$6+(-11*$D$5)+$D$4</f>
        <v>46.06</v>
      </c>
      <c r="E15" s="64" t="n">
        <f aca="false">$E$6+$E$4+(D15-$D$6)*$E$5+11</f>
        <v>11.1166</v>
      </c>
      <c r="F15" s="58" t="n">
        <f aca="false">F14</f>
        <v>70</v>
      </c>
      <c r="G15" s="62" t="n">
        <f aca="false">E15</f>
        <v>11.1166</v>
      </c>
    </row>
    <row r="16" customFormat="false" ht="15" hidden="false" customHeight="false" outlineLevel="0" collapsed="false">
      <c r="A16" s="56"/>
      <c r="B16" s="57" t="s">
        <v>123</v>
      </c>
      <c r="C16" s="58" t="n">
        <v>16.116131407206</v>
      </c>
      <c r="D16" s="63" t="n">
        <f aca="false">$D$6+(-22*$D$5)+$D$4</f>
        <v>35.06</v>
      </c>
      <c r="E16" s="64" t="n">
        <f aca="false">$E$6+$E$4+(D16-$D$6)*$E$5+11</f>
        <v>11.2332</v>
      </c>
      <c r="F16" s="58" t="n">
        <f aca="false">F15</f>
        <v>70</v>
      </c>
      <c r="G16" s="62" t="n">
        <f aca="false">E16</f>
        <v>11.2332</v>
      </c>
    </row>
    <row r="17" customFormat="false" ht="15" hidden="false" customHeight="false" outlineLevel="0" collapsed="false">
      <c r="A17" s="56"/>
      <c r="B17" s="57" t="s">
        <v>124</v>
      </c>
      <c r="C17" s="58" t="n">
        <v>16.1348142760027</v>
      </c>
      <c r="D17" s="63" t="n">
        <f aca="false">$D$6+(-33*$D$5)+$D$4</f>
        <v>24.06</v>
      </c>
      <c r="E17" s="64" t="n">
        <f aca="false">$E$6+$E$4+(D17-$D$6)*$E$5+11</f>
        <v>11.3498</v>
      </c>
      <c r="F17" s="58" t="n">
        <f aca="false">F16</f>
        <v>70</v>
      </c>
      <c r="G17" s="62" t="n">
        <f aca="false">E17</f>
        <v>11.3498</v>
      </c>
    </row>
    <row r="18" customFormat="false" ht="15" hidden="false" customHeight="false" outlineLevel="0" collapsed="false">
      <c r="A18" s="56"/>
      <c r="B18" s="57" t="s">
        <v>125</v>
      </c>
      <c r="C18" s="58" t="n">
        <v>16.1722004078858</v>
      </c>
      <c r="D18" s="63" t="n">
        <f aca="false">$D$6+(-55*$D$5)+$D$4</f>
        <v>2.06</v>
      </c>
      <c r="E18" s="64" t="n">
        <f aca="false">$E$6+$E$4+(D18-$D$6)*$E$5+11</f>
        <v>11.583</v>
      </c>
      <c r="F18" s="61" t="n">
        <v>-60</v>
      </c>
      <c r="G18" s="62" t="n">
        <f aca="false">E18</f>
        <v>11.583</v>
      </c>
    </row>
    <row r="19" customFormat="false" ht="15" hidden="false" customHeight="false" outlineLevel="0" collapsed="false">
      <c r="A19" s="56"/>
      <c r="B19" s="57" t="s">
        <v>126</v>
      </c>
      <c r="C19" s="58" t="n">
        <v>16.1909325628824</v>
      </c>
      <c r="D19" s="63" t="n">
        <f aca="false">$D$6+(-66*$D$5)+$D$4</f>
        <v>-8.94</v>
      </c>
      <c r="E19" s="64" t="n">
        <f aca="false">$E$6+$E$4+(D19-$D$6)*$E$5+11</f>
        <v>11.6996</v>
      </c>
      <c r="F19" s="58" t="n">
        <v>-60</v>
      </c>
      <c r="G19" s="62" t="n">
        <f aca="false">E19</f>
        <v>11.6996</v>
      </c>
    </row>
    <row r="20" customFormat="false" ht="15" hidden="false" customHeight="false" outlineLevel="0" collapsed="false">
      <c r="A20" s="56"/>
      <c r="B20" s="57" t="s">
        <v>127</v>
      </c>
      <c r="C20" s="58" t="n">
        <v>16.2097445955133</v>
      </c>
      <c r="D20" s="63" t="n">
        <f aca="false">$D$6+(-77*$D$5)+$D$4</f>
        <v>-19.94</v>
      </c>
      <c r="E20" s="64" t="n">
        <f aca="false">$E$6+$E$4+(D20-$D$6)*$E$5+11</f>
        <v>11.8162</v>
      </c>
      <c r="F20" s="58" t="n">
        <v>-60</v>
      </c>
      <c r="G20" s="62" t="n">
        <f aca="false">E20</f>
        <v>11.8162</v>
      </c>
    </row>
    <row r="21" customFormat="false" ht="15" hidden="false" customHeight="false" outlineLevel="0" collapsed="false">
      <c r="A21" s="56"/>
      <c r="B21" s="57" t="s">
        <v>128</v>
      </c>
      <c r="C21" s="58" t="n">
        <v>16.2283</v>
      </c>
      <c r="D21" s="63" t="n">
        <f aca="false">$D$6+(-88*$D$5)+$D$4</f>
        <v>-30.94</v>
      </c>
      <c r="E21" s="64" t="n">
        <f aca="false">$E$6+$E$4+(D21-$D$6)*$E$5+11</f>
        <v>11.9328</v>
      </c>
      <c r="F21" s="58" t="n">
        <v>-60</v>
      </c>
      <c r="G21" s="62" t="n">
        <f aca="false">E21</f>
        <v>11.9328</v>
      </c>
    </row>
    <row r="22" customFormat="false" ht="15" hidden="false" customHeight="false" outlineLevel="0" collapsed="false">
      <c r="A22" s="65"/>
      <c r="B22" s="66" t="s">
        <v>129</v>
      </c>
      <c r="C22" s="67" t="n">
        <v>16.9393995022516</v>
      </c>
      <c r="D22" s="68" t="n">
        <f aca="false">7+$D$4</f>
        <v>7</v>
      </c>
      <c r="E22" s="69" t="n">
        <f aca="false">1.37+$E$4</f>
        <v>1.37</v>
      </c>
      <c r="F22" s="67" t="n">
        <v>7</v>
      </c>
      <c r="G22" s="70" t="n">
        <v>2.97</v>
      </c>
    </row>
    <row r="23" customFormat="false" ht="15" hidden="false" customHeight="false" outlineLevel="0" collapsed="false">
      <c r="A23" s="65"/>
      <c r="B23" s="71" t="s">
        <v>130</v>
      </c>
      <c r="C23" s="72"/>
      <c r="D23" s="73"/>
      <c r="E23" s="73"/>
      <c r="F23" s="72"/>
      <c r="G23" s="74"/>
    </row>
    <row r="24" customFormat="false" ht="15" hidden="false" customHeight="false" outlineLevel="0" collapsed="false">
      <c r="A24" s="56" t="s">
        <v>131</v>
      </c>
      <c r="B24" s="75" t="s">
        <v>132</v>
      </c>
      <c r="C24" s="76" t="n">
        <v>15.8533</v>
      </c>
      <c r="D24" s="59" t="n">
        <f aca="false">57.44+$D$4</f>
        <v>57.44</v>
      </c>
      <c r="E24" s="60" t="n">
        <f aca="false">28.6+$E$4</f>
        <v>28.6</v>
      </c>
      <c r="F24" s="77" t="n">
        <f aca="false">F6</f>
        <v>70</v>
      </c>
      <c r="G24" s="78" t="n">
        <f aca="false">E24</f>
        <v>28.6</v>
      </c>
    </row>
    <row r="25" customFormat="false" ht="15" hidden="false" customHeight="false" outlineLevel="0" collapsed="false">
      <c r="A25" s="56"/>
      <c r="B25" s="75" t="s">
        <v>133</v>
      </c>
      <c r="C25" s="76" t="n">
        <v>15.8718732136772</v>
      </c>
      <c r="D25" s="79" t="n">
        <f aca="false">$D$24+(-11*$D$5)+$D$4</f>
        <v>46.44</v>
      </c>
      <c r="E25" s="80" t="n">
        <f aca="false">$E$24+$E$4+(D25-$D$24)*$E$5</f>
        <v>28.7166</v>
      </c>
      <c r="F25" s="77" t="n">
        <f aca="false">F7</f>
        <v>70</v>
      </c>
      <c r="G25" s="81" t="n">
        <f aca="false">E25</f>
        <v>28.7166</v>
      </c>
    </row>
    <row r="26" customFormat="false" ht="15" hidden="false" customHeight="false" outlineLevel="0" collapsed="false">
      <c r="A26" s="56"/>
      <c r="B26" s="75" t="s">
        <v>134</v>
      </c>
      <c r="C26" s="76" t="n">
        <v>15.8906679427468</v>
      </c>
      <c r="D26" s="79" t="n">
        <f aca="false">$D$24+(-22*$D$5)+$D$4</f>
        <v>35.44</v>
      </c>
      <c r="E26" s="80" t="n">
        <f aca="false">$E$24+$E$4+(D26-$D$24)*$E$5</f>
        <v>28.8332</v>
      </c>
      <c r="F26" s="77" t="n">
        <f aca="false">F8</f>
        <v>70</v>
      </c>
      <c r="G26" s="81" t="n">
        <f aca="false">E26</f>
        <v>28.8332</v>
      </c>
    </row>
    <row r="27" customFormat="false" ht="15" hidden="false" customHeight="false" outlineLevel="0" collapsed="false">
      <c r="A27" s="56"/>
      <c r="B27" s="75" t="s">
        <v>135</v>
      </c>
      <c r="C27" s="76" t="n">
        <v>15.9190338407361</v>
      </c>
      <c r="D27" s="79" t="n">
        <f aca="false">$D$24+(-38.5*$D$5)+$D$4</f>
        <v>18.94</v>
      </c>
      <c r="E27" s="80" t="n">
        <f aca="false">$E$24+$E$4+(D27-$D$24)*$E$5</f>
        <v>29.0081</v>
      </c>
      <c r="F27" s="77" t="n">
        <f aca="false">F9</f>
        <v>70</v>
      </c>
      <c r="G27" s="81" t="n">
        <f aca="false">E27</f>
        <v>29.0081</v>
      </c>
    </row>
    <row r="28" customFormat="false" ht="15" hidden="false" customHeight="false" outlineLevel="0" collapsed="false">
      <c r="A28" s="56"/>
      <c r="B28" s="75" t="s">
        <v>136</v>
      </c>
      <c r="C28" s="76" t="n">
        <v>15.9376632852437</v>
      </c>
      <c r="D28" s="79" t="n">
        <f aca="false">$D$24+(-49.5*$D$5)+$D$4</f>
        <v>7.94</v>
      </c>
      <c r="E28" s="80" t="n">
        <f aca="false">$E$24+$E$4+(D28-$D$24)*$E$5</f>
        <v>29.1247</v>
      </c>
      <c r="F28" s="77" t="n">
        <f aca="false">F10</f>
        <v>-60</v>
      </c>
      <c r="G28" s="81" t="n">
        <f aca="false">E28</f>
        <v>29.1247</v>
      </c>
    </row>
    <row r="29" customFormat="false" ht="15" hidden="false" customHeight="false" outlineLevel="0" collapsed="false">
      <c r="A29" s="56"/>
      <c r="B29" s="75" t="s">
        <v>137</v>
      </c>
      <c r="C29" s="76" t="n">
        <v>15.9657889242304</v>
      </c>
      <c r="D29" s="79" t="n">
        <f aca="false">$D$24+(-66*$D$5)+$D$4</f>
        <v>-8.56</v>
      </c>
      <c r="E29" s="80" t="n">
        <f aca="false">$E$24+$E$4+(D29-$D$24)*$E$5</f>
        <v>29.2996</v>
      </c>
      <c r="F29" s="77" t="n">
        <f aca="false">F11</f>
        <v>-60</v>
      </c>
      <c r="G29" s="81" t="n">
        <f aca="false">E29</f>
        <v>29.2996</v>
      </c>
    </row>
    <row r="30" customFormat="false" ht="15" hidden="false" customHeight="false" outlineLevel="0" collapsed="false">
      <c r="A30" s="56"/>
      <c r="B30" s="75" t="s">
        <v>138</v>
      </c>
      <c r="C30" s="76" t="n">
        <v>15.9846296603431</v>
      </c>
      <c r="D30" s="79" t="n">
        <f aca="false">$D$24+(-77*$D$5)+$D$4</f>
        <v>-19.56</v>
      </c>
      <c r="E30" s="80" t="n">
        <f aca="false">$E$24+$E$4+(D30-$D$24)*$E$5</f>
        <v>29.4162</v>
      </c>
      <c r="F30" s="77" t="n">
        <f aca="false">F12</f>
        <v>-60</v>
      </c>
      <c r="G30" s="81" t="n">
        <f aca="false">E30</f>
        <v>29.4162</v>
      </c>
    </row>
    <row r="31" customFormat="false" ht="15" hidden="false" customHeight="false" outlineLevel="0" collapsed="false">
      <c r="A31" s="56"/>
      <c r="B31" s="75" t="s">
        <v>139</v>
      </c>
      <c r="C31" s="76" t="n">
        <v>16.0033</v>
      </c>
      <c r="D31" s="79" t="n">
        <f aca="false">$D$24+(-88*$D$5)+$D$4</f>
        <v>-30.56</v>
      </c>
      <c r="E31" s="80" t="n">
        <f aca="false">$E$24+$E$4+(D31-$D$24)*$E$5</f>
        <v>29.5328</v>
      </c>
      <c r="F31" s="77" t="n">
        <f aca="false">F13</f>
        <v>-60</v>
      </c>
      <c r="G31" s="81" t="n">
        <f aca="false">E31</f>
        <v>29.5328</v>
      </c>
    </row>
    <row r="32" customFormat="false" ht="15" hidden="false" customHeight="false" outlineLevel="0" collapsed="false">
      <c r="A32" s="56"/>
      <c r="B32" s="75" t="s">
        <v>140</v>
      </c>
      <c r="C32" s="76" t="n">
        <v>16.0033</v>
      </c>
      <c r="D32" s="79" t="n">
        <f aca="false">$D$24+(0*$D$5)+$D$4</f>
        <v>57.44</v>
      </c>
      <c r="E32" s="80" t="n">
        <f aca="false">$E$24+$E$4+(D32-$D$24)*$E$5+11</f>
        <v>39.6</v>
      </c>
      <c r="F32" s="77" t="n">
        <f aca="false">F14</f>
        <v>70</v>
      </c>
      <c r="G32" s="81" t="n">
        <f aca="false">E32</f>
        <v>39.6</v>
      </c>
    </row>
    <row r="33" customFormat="false" ht="15" hidden="false" customHeight="false" outlineLevel="0" collapsed="false">
      <c r="A33" s="56"/>
      <c r="B33" s="75" t="s">
        <v>141</v>
      </c>
      <c r="C33" s="76" t="n">
        <v>16.0126292475315</v>
      </c>
      <c r="D33" s="79" t="n">
        <f aca="false">$D$24+(-11*$D$5)+$D$4</f>
        <v>46.44</v>
      </c>
      <c r="E33" s="80" t="n">
        <f aca="false">$E$24+$E$4+(D33-$D$24)*$E$5+11</f>
        <v>39.7166</v>
      </c>
      <c r="F33" s="77" t="n">
        <f aca="false">F15</f>
        <v>70</v>
      </c>
      <c r="G33" s="81" t="n">
        <f aca="false">E33</f>
        <v>39.7166</v>
      </c>
    </row>
    <row r="34" customFormat="false" ht="15" hidden="false" customHeight="false" outlineLevel="0" collapsed="false">
      <c r="A34" s="56"/>
      <c r="B34" s="75" t="s">
        <v>142</v>
      </c>
      <c r="C34" s="76" t="n">
        <v>16.022009567586</v>
      </c>
      <c r="D34" s="79" t="n">
        <f aca="false">$D$24+(-22*$D$5)+$D$4</f>
        <v>35.44</v>
      </c>
      <c r="E34" s="80" t="n">
        <f aca="false">$E$24+$E$4+(D34-$D$24)*$E$5+11</f>
        <v>39.8332</v>
      </c>
      <c r="F34" s="77" t="n">
        <f aca="false">F16</f>
        <v>70</v>
      </c>
      <c r="G34" s="81" t="n">
        <f aca="false">E34</f>
        <v>39.8332</v>
      </c>
    </row>
    <row r="35" customFormat="false" ht="15" hidden="false" customHeight="false" outlineLevel="0" collapsed="false">
      <c r="A35" s="56"/>
      <c r="B35" s="75" t="s">
        <v>143</v>
      </c>
      <c r="C35" s="76" t="n">
        <v>16.031364351379</v>
      </c>
      <c r="D35" s="79" t="n">
        <f aca="false">$D$24+(-33*$D$5)+$D$4</f>
        <v>24.44</v>
      </c>
      <c r="E35" s="80" t="n">
        <f aca="false">$E$24+$E$4+(D35-$D$24)*$E$5+11</f>
        <v>39.9498</v>
      </c>
      <c r="F35" s="77" t="n">
        <f aca="false">F17</f>
        <v>70</v>
      </c>
      <c r="G35" s="81" t="n">
        <f aca="false">E35</f>
        <v>39.9498</v>
      </c>
    </row>
    <row r="36" customFormat="false" ht="15" hidden="false" customHeight="false" outlineLevel="0" collapsed="false">
      <c r="A36" s="56"/>
      <c r="B36" s="75" t="s">
        <v>144</v>
      </c>
      <c r="C36" s="76" t="n">
        <v>16.0501845760981</v>
      </c>
      <c r="D36" s="79" t="n">
        <f aca="false">$D$24+(-55*$D$5)+$D$4</f>
        <v>2.44</v>
      </c>
      <c r="E36" s="80" t="n">
        <f aca="false">$E$24+$E$4+(D36-$D$24)*$E$5+11</f>
        <v>40.183</v>
      </c>
      <c r="F36" s="77" t="n">
        <f aca="false">F18</f>
        <v>-60</v>
      </c>
      <c r="G36" s="81" t="n">
        <f aca="false">E36</f>
        <v>40.183</v>
      </c>
    </row>
    <row r="37" customFormat="false" ht="15" hidden="false" customHeight="false" outlineLevel="0" collapsed="false">
      <c r="A37" s="56"/>
      <c r="B37" s="75" t="s">
        <v>145</v>
      </c>
      <c r="C37" s="76" t="n">
        <v>16.0594457269322</v>
      </c>
      <c r="D37" s="79" t="n">
        <f aca="false">$D$24+(-66*$D$5)+$D$4</f>
        <v>-8.56</v>
      </c>
      <c r="E37" s="80" t="n">
        <f aca="false">$E$24+$E$4+(D37-$D$24)*$E$5+11</f>
        <v>40.2996</v>
      </c>
      <c r="F37" s="77" t="n">
        <f aca="false">F19</f>
        <v>-60</v>
      </c>
      <c r="G37" s="81" t="n">
        <f aca="false">E37</f>
        <v>40.2996</v>
      </c>
    </row>
    <row r="38" customFormat="false" ht="15" hidden="false" customHeight="false" outlineLevel="0" collapsed="false">
      <c r="A38" s="56"/>
      <c r="B38" s="75" t="s">
        <v>146</v>
      </c>
      <c r="C38" s="76" t="n">
        <v>16.0688260469867</v>
      </c>
      <c r="D38" s="79" t="n">
        <f aca="false">$D$24+(-77*$D$5)+$D$4</f>
        <v>-19.56</v>
      </c>
      <c r="E38" s="80" t="n">
        <f aca="false">$E$24+$E$4+(D38-$D$24)*$E$5+11</f>
        <v>40.4162</v>
      </c>
      <c r="F38" s="77" t="n">
        <f aca="false">F20</f>
        <v>-60</v>
      </c>
      <c r="G38" s="81" t="n">
        <f aca="false">E38</f>
        <v>40.4162</v>
      </c>
    </row>
    <row r="39" customFormat="false" ht="15" hidden="false" customHeight="false" outlineLevel="0" collapsed="false">
      <c r="A39" s="56"/>
      <c r="B39" s="75" t="s">
        <v>147</v>
      </c>
      <c r="C39" s="76" t="n">
        <v>16.0783</v>
      </c>
      <c r="D39" s="79" t="n">
        <f aca="false">$D$24+(-88*$D$5)+$D$4</f>
        <v>-30.56</v>
      </c>
      <c r="E39" s="80" t="n">
        <f aca="false">$E$24+$E$4+(D39-$D$24)*$E$5+11</f>
        <v>40.5328</v>
      </c>
      <c r="F39" s="77" t="n">
        <f aca="false">F21</f>
        <v>-60</v>
      </c>
      <c r="G39" s="81" t="n">
        <f aca="false">E39</f>
        <v>40.5328</v>
      </c>
    </row>
    <row r="40" customFormat="false" ht="15" hidden="false" customHeight="false" outlineLevel="0" collapsed="false">
      <c r="A40" s="65"/>
      <c r="B40" s="82" t="s">
        <v>148</v>
      </c>
      <c r="C40" s="83" t="n">
        <v>16.9309615926389</v>
      </c>
      <c r="D40" s="68" t="n">
        <f aca="false">7+$D$4</f>
        <v>7</v>
      </c>
      <c r="E40" s="69" t="n">
        <f aca="false">1.37+$E$4</f>
        <v>1.37</v>
      </c>
      <c r="F40" s="83" t="n">
        <v>7</v>
      </c>
      <c r="G40" s="84" t="n">
        <f aca="false">E40</f>
        <v>1.37</v>
      </c>
    </row>
    <row r="41" customFormat="false" ht="15" hidden="false" customHeight="false" outlineLevel="0" collapsed="false">
      <c r="A41" s="65"/>
      <c r="B41" s="85" t="s">
        <v>149</v>
      </c>
      <c r="C41" s="86"/>
      <c r="D41" s="87"/>
      <c r="E41" s="87"/>
      <c r="F41" s="86"/>
      <c r="G41" s="88"/>
    </row>
    <row r="42" customFormat="false" ht="15" hidden="false" customHeight="false" outlineLevel="0" collapsed="false">
      <c r="A42" s="56" t="s">
        <v>150</v>
      </c>
      <c r="B42" s="89" t="s">
        <v>151</v>
      </c>
      <c r="C42" s="90" t="n">
        <v>16.3783</v>
      </c>
      <c r="D42" s="59" t="n">
        <f aca="false">57.57+$D$4</f>
        <v>57.57</v>
      </c>
      <c r="E42" s="60" t="n">
        <f aca="false">57.13+$E$4</f>
        <v>57.13</v>
      </c>
      <c r="F42" s="91" t="n">
        <f aca="false">F6</f>
        <v>70</v>
      </c>
      <c r="G42" s="92" t="n">
        <f aca="false">E42</f>
        <v>57.13</v>
      </c>
    </row>
    <row r="43" customFormat="false" ht="15" hidden="false" customHeight="false" outlineLevel="0" collapsed="false">
      <c r="A43" s="56"/>
      <c r="B43" s="89" t="s">
        <v>152</v>
      </c>
      <c r="C43" s="90" t="n">
        <v>16.3867377127298</v>
      </c>
      <c r="D43" s="93" t="n">
        <f aca="false">$D$42+(-11*$D$5)+$D$4</f>
        <v>46.57</v>
      </c>
      <c r="E43" s="94" t="n">
        <f aca="false">$E$42+$E$4+(D43-$D$42)*$E$5</f>
        <v>57.2466</v>
      </c>
      <c r="F43" s="91" t="n">
        <f aca="false">F7</f>
        <v>70</v>
      </c>
      <c r="G43" s="95" t="n">
        <f aca="false">E43</f>
        <v>57.2466</v>
      </c>
    </row>
    <row r="44" customFormat="false" ht="15" hidden="false" customHeight="false" outlineLevel="0" collapsed="false">
      <c r="A44" s="56"/>
      <c r="B44" s="89" t="s">
        <v>153</v>
      </c>
      <c r="C44" s="90" t="n">
        <v>16.3949853868845</v>
      </c>
      <c r="D44" s="93" t="n">
        <f aca="false">$D$42+(-22*$D$5)+$D$4</f>
        <v>35.57</v>
      </c>
      <c r="E44" s="94" t="n">
        <f aca="false">$E$42+$E$4+(D44-$D$42)*$E$5</f>
        <v>57.3632</v>
      </c>
      <c r="F44" s="91" t="n">
        <f aca="false">F8</f>
        <v>70</v>
      </c>
      <c r="G44" s="95" t="n">
        <f aca="false">E44</f>
        <v>57.3632</v>
      </c>
    </row>
    <row r="45" customFormat="false" ht="15" hidden="false" customHeight="false" outlineLevel="0" collapsed="false">
      <c r="A45" s="56"/>
      <c r="B45" s="89" t="s">
        <v>154</v>
      </c>
      <c r="C45" s="90" t="n">
        <v>16.4076723621511</v>
      </c>
      <c r="D45" s="93" t="n">
        <f aca="false">$D$42+(-38.5*$D$5)+$D$4</f>
        <v>19.07</v>
      </c>
      <c r="E45" s="94" t="n">
        <f aca="false">$E$42+$E$4+(D45-$D$42)*$E$5</f>
        <v>57.5381</v>
      </c>
      <c r="F45" s="91" t="n">
        <f aca="false">F9</f>
        <v>70</v>
      </c>
      <c r="G45" s="95" t="n">
        <f aca="false">E45</f>
        <v>57.5381</v>
      </c>
    </row>
    <row r="46" customFormat="false" ht="15" hidden="false" customHeight="false" outlineLevel="0" collapsed="false">
      <c r="A46" s="56"/>
      <c r="B46" s="89" t="s">
        <v>155</v>
      </c>
      <c r="C46" s="90" t="n">
        <v>16.4159656455639</v>
      </c>
      <c r="D46" s="93" t="n">
        <f aca="false">$D$42+(-49.5*$D$5)+$D$4</f>
        <v>8.07</v>
      </c>
      <c r="E46" s="94" t="n">
        <f aca="false">$E$42+$E$4+(D46-$D$42)*$E$5</f>
        <v>57.6547</v>
      </c>
      <c r="F46" s="91" t="n">
        <f aca="false">F10</f>
        <v>-60</v>
      </c>
      <c r="G46" s="95" t="n">
        <f aca="false">E46</f>
        <v>57.6547</v>
      </c>
    </row>
    <row r="47" customFormat="false" ht="15" hidden="false" customHeight="false" outlineLevel="0" collapsed="false">
      <c r="A47" s="56"/>
      <c r="B47" s="89" t="s">
        <v>156</v>
      </c>
      <c r="C47" s="90" t="n">
        <v>16.4285309961425</v>
      </c>
      <c r="D47" s="93" t="n">
        <f aca="false">$D$42+(-66*$D$5)+$D$4</f>
        <v>-8.43</v>
      </c>
      <c r="E47" s="94" t="n">
        <f aca="false">$E$42+$E$4+(D47-$D$42)*$E$5</f>
        <v>57.8296</v>
      </c>
      <c r="F47" s="91" t="n">
        <f aca="false">F11</f>
        <v>-60</v>
      </c>
      <c r="G47" s="95" t="n">
        <f aca="false">E47</f>
        <v>57.8296</v>
      </c>
    </row>
    <row r="48" customFormat="false" ht="15" hidden="false" customHeight="false" outlineLevel="0" collapsed="false">
      <c r="A48" s="56"/>
      <c r="B48" s="89" t="s">
        <v>157</v>
      </c>
      <c r="C48" s="90" t="n">
        <v>16.4369383027003</v>
      </c>
      <c r="D48" s="93" t="n">
        <f aca="false">$D$42+(-77*$D$5)+$D$4</f>
        <v>-19.43</v>
      </c>
      <c r="E48" s="94" t="n">
        <f aca="false">$E$42+$E$4+(D48-$D$42)*$E$5</f>
        <v>57.9462</v>
      </c>
      <c r="F48" s="91" t="n">
        <f aca="false">F12</f>
        <v>-60</v>
      </c>
      <c r="G48" s="95" t="n">
        <f aca="false">E48</f>
        <v>57.9462</v>
      </c>
    </row>
    <row r="49" customFormat="false" ht="15" hidden="false" customHeight="false" outlineLevel="0" collapsed="false">
      <c r="A49" s="56"/>
      <c r="B49" s="89" t="s">
        <v>158</v>
      </c>
      <c r="C49" s="90" t="n">
        <v>16.4453</v>
      </c>
      <c r="D49" s="93" t="n">
        <f aca="false">$D$42+(-88*$D$5)+$D$4</f>
        <v>-30.43</v>
      </c>
      <c r="E49" s="94" t="n">
        <f aca="false">$E$42+$E$4+(D49-$D$42)*$E$5</f>
        <v>58.0628</v>
      </c>
      <c r="F49" s="91" t="n">
        <f aca="false">F13</f>
        <v>-60</v>
      </c>
      <c r="G49" s="95" t="n">
        <f aca="false">E49</f>
        <v>58.0628</v>
      </c>
    </row>
    <row r="50" customFormat="false" ht="15" hidden="false" customHeight="false" outlineLevel="0" collapsed="false">
      <c r="A50" s="56"/>
      <c r="B50" s="89" t="s">
        <v>159</v>
      </c>
      <c r="C50" s="90" t="n">
        <v>16.3783</v>
      </c>
      <c r="D50" s="93" t="n">
        <f aca="false">$D$42+(0*$D$5)+$D$4</f>
        <v>57.57</v>
      </c>
      <c r="E50" s="94" t="n">
        <f aca="false">$E$42+$E$4+(D50-$D$42)*$E$5+11</f>
        <v>68.13</v>
      </c>
      <c r="F50" s="91" t="n">
        <f aca="false">F14</f>
        <v>70</v>
      </c>
      <c r="G50" s="95" t="n">
        <f aca="false">E50</f>
        <v>68.13</v>
      </c>
    </row>
    <row r="51" customFormat="false" ht="15" hidden="false" customHeight="false" outlineLevel="0" collapsed="false">
      <c r="A51" s="56"/>
      <c r="B51" s="89" t="s">
        <v>160</v>
      </c>
      <c r="C51" s="90" t="n">
        <v>16.3969628104798</v>
      </c>
      <c r="D51" s="93" t="n">
        <f aca="false">$D$42+(-11*$D$5)+$D$4</f>
        <v>46.57</v>
      </c>
      <c r="E51" s="94" t="n">
        <f aca="false">$E$42+$E$4+(D51-$D$42)*$E$5+11</f>
        <v>68.2466</v>
      </c>
      <c r="F51" s="91" t="n">
        <f aca="false">F15</f>
        <v>70</v>
      </c>
      <c r="G51" s="95" t="n">
        <f aca="false">E51</f>
        <v>68.2466</v>
      </c>
    </row>
    <row r="52" customFormat="false" ht="15" hidden="false" customHeight="false" outlineLevel="0" collapsed="false">
      <c r="A52" s="56"/>
      <c r="B52" s="89" t="s">
        <v>161</v>
      </c>
      <c r="C52" s="90" t="n">
        <v>16.4158808097993</v>
      </c>
      <c r="D52" s="93" t="n">
        <f aca="false">$D$42+(-22*$D$5)+$D$4</f>
        <v>35.57</v>
      </c>
      <c r="E52" s="94" t="n">
        <f aca="false">$E$42+$E$4+(D52-$D$42)*$E$5+11</f>
        <v>68.3632</v>
      </c>
      <c r="F52" s="91" t="n">
        <f aca="false">F16</f>
        <v>70</v>
      </c>
      <c r="G52" s="95" t="n">
        <f aca="false">E52</f>
        <v>68.3632</v>
      </c>
    </row>
    <row r="53" customFormat="false" ht="15" hidden="false" customHeight="false" outlineLevel="0" collapsed="false">
      <c r="A53" s="56"/>
      <c r="B53" s="89" t="s">
        <v>162</v>
      </c>
      <c r="C53" s="90" t="n">
        <v>16.434594658047</v>
      </c>
      <c r="D53" s="93" t="n">
        <f aca="false">$D$42+(-33*$D$5)+$D$4</f>
        <v>24.57</v>
      </c>
      <c r="E53" s="94" t="n">
        <f aca="false">$E$42+$E$4+(D53-$D$42)*$E$5+11</f>
        <v>68.4798</v>
      </c>
      <c r="F53" s="91" t="n">
        <f aca="false">F17</f>
        <v>70</v>
      </c>
      <c r="G53" s="95" t="n">
        <f aca="false">E53</f>
        <v>68.4798</v>
      </c>
    </row>
    <row r="54" customFormat="false" ht="15" hidden="false" customHeight="false" outlineLevel="0" collapsed="false">
      <c r="A54" s="56"/>
      <c r="B54" s="89" t="s">
        <v>163</v>
      </c>
      <c r="C54" s="90" t="n">
        <v>16.4719543041851</v>
      </c>
      <c r="D54" s="93" t="n">
        <f aca="false">$D$42+(-55*$D$5)+$D$4</f>
        <v>2.57</v>
      </c>
      <c r="E54" s="94" t="n">
        <f aca="false">$E$42+$E$4+(D54-$D$42)*$E$5+11</f>
        <v>68.713</v>
      </c>
      <c r="F54" s="91" t="n">
        <f aca="false">F18</f>
        <v>-60</v>
      </c>
      <c r="G54" s="95" t="n">
        <f aca="false">E54</f>
        <v>68.713</v>
      </c>
    </row>
    <row r="55" customFormat="false" ht="15" hidden="false" customHeight="false" outlineLevel="0" collapsed="false">
      <c r="A55" s="56"/>
      <c r="B55" s="89" t="s">
        <v>164</v>
      </c>
      <c r="C55" s="90" t="n">
        <v>16.4907191902007</v>
      </c>
      <c r="D55" s="93" t="n">
        <f aca="false">$D$42+(-66*$D$5)+$D$4</f>
        <v>-8.43</v>
      </c>
      <c r="E55" s="94" t="n">
        <f aca="false">$E$42+$E$4+(D55-$D$42)*$E$5+11</f>
        <v>68.8296</v>
      </c>
      <c r="F55" s="91" t="n">
        <f aca="false">F19</f>
        <v>-60</v>
      </c>
      <c r="G55" s="95" t="n">
        <f aca="false">E55</f>
        <v>68.8296</v>
      </c>
    </row>
    <row r="56" customFormat="false" ht="15" hidden="false" customHeight="false" outlineLevel="0" collapsed="false">
      <c r="A56" s="56"/>
      <c r="B56" s="89" t="s">
        <v>165</v>
      </c>
      <c r="C56" s="90" t="n">
        <v>16.5093820006805</v>
      </c>
      <c r="D56" s="93" t="n">
        <f aca="false">$D$42+(-77*$D$5)+$D$4</f>
        <v>-19.43</v>
      </c>
      <c r="E56" s="94" t="n">
        <f aca="false">$E$42+$E$4+(D56-$D$42)*$E$5+11</f>
        <v>68.9462</v>
      </c>
      <c r="F56" s="91" t="n">
        <f aca="false">F20</f>
        <v>-60</v>
      </c>
      <c r="G56" s="95" t="n">
        <f aca="false">E56</f>
        <v>68.9462</v>
      </c>
    </row>
    <row r="57" customFormat="false" ht="15" hidden="false" customHeight="false" outlineLevel="0" collapsed="false">
      <c r="A57" s="56"/>
      <c r="B57" s="89" t="s">
        <v>166</v>
      </c>
      <c r="C57" s="90" t="n">
        <v>16.5283</v>
      </c>
      <c r="D57" s="93" t="n">
        <f aca="false">$D$42+(-88*$D$5)+$D$4</f>
        <v>-30.43</v>
      </c>
      <c r="E57" s="94" t="n">
        <f aca="false">$E$42+$E$4+(D57-$D$42)*$E$5+11</f>
        <v>69.0628</v>
      </c>
      <c r="F57" s="91" t="n">
        <f aca="false">F21</f>
        <v>-60</v>
      </c>
      <c r="G57" s="95" t="n">
        <f aca="false">E57</f>
        <v>69.0628</v>
      </c>
    </row>
    <row r="58" customFormat="false" ht="15" hidden="false" customHeight="false" outlineLevel="0" collapsed="false">
      <c r="A58" s="65"/>
      <c r="B58" s="96" t="s">
        <v>167</v>
      </c>
      <c r="C58" s="97" t="n">
        <v>17.412993442251</v>
      </c>
      <c r="D58" s="68" t="n">
        <v>13.57</v>
      </c>
      <c r="E58" s="69" t="n">
        <v>59.5</v>
      </c>
      <c r="F58" s="97" t="n">
        <f aca="false">D58</f>
        <v>13.57</v>
      </c>
      <c r="G58" s="98" t="n">
        <f aca="false">E58-2</f>
        <v>57.5</v>
      </c>
    </row>
    <row r="59" customFormat="false" ht="15" hidden="false" customHeight="false" outlineLevel="0" collapsed="false">
      <c r="A59" s="65"/>
      <c r="B59" s="99" t="s">
        <v>168</v>
      </c>
      <c r="C59" s="100" t="n">
        <v>15</v>
      </c>
      <c r="D59" s="101" t="n">
        <f aca="false">6+$D$4</f>
        <v>6</v>
      </c>
      <c r="E59" s="101" t="n">
        <f aca="false">17+$D$4</f>
        <v>17</v>
      </c>
      <c r="F59" s="100" t="n">
        <v>3</v>
      </c>
      <c r="G59" s="102" t="n">
        <f aca="false">E59</f>
        <v>17</v>
      </c>
    </row>
    <row r="60" customFormat="false" ht="15" hidden="false" customHeight="false" outlineLevel="0" collapsed="false">
      <c r="A60" s="65"/>
      <c r="B60" s="89" t="s">
        <v>169</v>
      </c>
      <c r="C60" s="90" t="n">
        <v>16.5283</v>
      </c>
      <c r="D60" s="93" t="n">
        <v>0</v>
      </c>
      <c r="E60" s="94" t="n">
        <v>0</v>
      </c>
      <c r="F60" s="91" t="n">
        <v>0</v>
      </c>
      <c r="G60" s="95" t="n">
        <f aca="false">E60</f>
        <v>0</v>
      </c>
    </row>
    <row r="61" customFormat="false" ht="15" hidden="false" customHeight="false" outlineLevel="0" collapsed="false">
      <c r="A61" s="65"/>
      <c r="B61" s="103"/>
      <c r="C61" s="104"/>
      <c r="D61" s="105"/>
      <c r="E61" s="105"/>
      <c r="F61" s="104"/>
      <c r="G61" s="106"/>
    </row>
    <row r="62" customFormat="false" ht="15" hidden="false" customHeight="false" outlineLevel="0" collapsed="false">
      <c r="D62" s="107" t="s">
        <v>170</v>
      </c>
      <c r="E62" s="107"/>
      <c r="F62" s="107"/>
      <c r="G62" s="107"/>
    </row>
    <row r="63" customFormat="false" ht="15" hidden="false" customHeight="false" outlineLevel="0" collapsed="false">
      <c r="B63" s="103" t="s">
        <v>171</v>
      </c>
      <c r="C63" s="48" t="n">
        <f aca="false">C46-15.5</f>
        <v>0.915965645563901</v>
      </c>
      <c r="D63" s="107" t="n">
        <v>1.5</v>
      </c>
      <c r="E63" s="107" t="n">
        <v>26.12</v>
      </c>
      <c r="F63" s="107" t="n">
        <f aca="false">D63</f>
        <v>1.5</v>
      </c>
      <c r="G63" s="107" t="n">
        <f aca="false">E63-5</f>
        <v>21.12</v>
      </c>
    </row>
    <row r="64" customFormat="false" ht="15" hidden="false" customHeight="false" outlineLevel="0" collapsed="false">
      <c r="D64" s="107"/>
      <c r="E64" s="107"/>
      <c r="F64" s="107"/>
      <c r="G64" s="107"/>
    </row>
    <row r="65" customFormat="false" ht="15" hidden="false" customHeight="false" outlineLevel="0" collapsed="false">
      <c r="C65" s="107"/>
      <c r="D65" s="107"/>
      <c r="E65" s="107"/>
      <c r="F65" s="108"/>
      <c r="G65" s="108"/>
    </row>
    <row r="66" customFormat="false" ht="15" hidden="false" customHeight="false" outlineLevel="0" collapsed="false">
      <c r="C66" s="109" t="s">
        <v>172</v>
      </c>
      <c r="D66" s="110" t="s">
        <v>173</v>
      </c>
      <c r="E66" s="110" t="s">
        <v>174</v>
      </c>
      <c r="F66" s="109" t="s">
        <v>175</v>
      </c>
      <c r="G66" s="109" t="s">
        <v>176</v>
      </c>
    </row>
    <row r="67" customFormat="false" ht="15" hidden="false" customHeight="false" outlineLevel="0" collapsed="false">
      <c r="A67" s="51" t="s">
        <v>108</v>
      </c>
      <c r="B67" s="50"/>
      <c r="C67" s="50" t="n">
        <v>0</v>
      </c>
      <c r="D67" s="52" t="n">
        <v>0</v>
      </c>
      <c r="E67" s="53" t="n">
        <v>0</v>
      </c>
      <c r="F67" s="50" t="s">
        <v>109</v>
      </c>
      <c r="G67" s="52" t="s">
        <v>110</v>
      </c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</row>
    <row r="68" customFormat="false" ht="15" hidden="false" customHeight="false" outlineLevel="0" collapsed="false">
      <c r="A68" s="54" t="s">
        <v>111</v>
      </c>
      <c r="C68" s="48" t="n">
        <v>0</v>
      </c>
      <c r="D68" s="55" t="n">
        <v>1</v>
      </c>
      <c r="E68" s="55" t="n">
        <v>-0.0106</v>
      </c>
      <c r="F68" s="55"/>
      <c r="G68" s="55"/>
    </row>
    <row r="69" customFormat="false" ht="15" hidden="false" customHeight="false" outlineLevel="0" collapsed="false">
      <c r="A69" s="56" t="s">
        <v>112</v>
      </c>
      <c r="B69" s="57" t="s">
        <v>177</v>
      </c>
      <c r="C69" s="58" t="n">
        <v>15.9283</v>
      </c>
      <c r="D69" s="59" t="n">
        <f aca="false">57.8+$D$67</f>
        <v>57.8</v>
      </c>
      <c r="E69" s="60" t="n">
        <f aca="false">-0.75+$E$67</f>
        <v>-0.75</v>
      </c>
      <c r="F69" s="61" t="n">
        <v>70</v>
      </c>
      <c r="G69" s="62" t="n">
        <f aca="false">E69</f>
        <v>-0.75</v>
      </c>
    </row>
    <row r="70" customFormat="false" ht="15" hidden="false" customHeight="false" outlineLevel="0" collapsed="false">
      <c r="A70" s="56"/>
      <c r="B70" s="57" t="s">
        <v>178</v>
      </c>
      <c r="C70" s="58" t="n">
        <v>15.937705922</v>
      </c>
      <c r="D70" s="63" t="n">
        <f aca="false">$D$69+(-11*$D$68)+$D$67</f>
        <v>46.8</v>
      </c>
      <c r="E70" s="64" t="n">
        <f aca="false">$E$69+$E$67+(D70-$D$69)*$E$68</f>
        <v>-0.6334</v>
      </c>
      <c r="F70" s="58" t="n">
        <f aca="false">F69</f>
        <v>70</v>
      </c>
      <c r="G70" s="62" t="n">
        <f aca="false">E70</f>
        <v>-0.6334</v>
      </c>
    </row>
    <row r="71" customFormat="false" ht="15" hidden="false" customHeight="false" outlineLevel="0" collapsed="false">
      <c r="A71" s="56"/>
      <c r="B71" s="57" t="s">
        <v>179</v>
      </c>
      <c r="C71" s="58" t="n">
        <v>15.937650568</v>
      </c>
      <c r="D71" s="63" t="n">
        <f aca="false">$D$69+(-22*$D$68)+$D$67</f>
        <v>35.8</v>
      </c>
      <c r="E71" s="64" t="n">
        <f aca="false">$E$69+$E$67+(D71-$D$69)*$E$68</f>
        <v>-0.5168</v>
      </c>
      <c r="F71" s="58" t="n">
        <f aca="false">F70</f>
        <v>70</v>
      </c>
      <c r="G71" s="62" t="n">
        <f aca="false">E71</f>
        <v>-0.5168</v>
      </c>
    </row>
    <row r="72" customFormat="false" ht="15" hidden="false" customHeight="false" outlineLevel="0" collapsed="false">
      <c r="A72" s="56"/>
      <c r="B72" s="57" t="s">
        <v>180</v>
      </c>
      <c r="C72" s="58" t="n">
        <v>15.9423922768</v>
      </c>
      <c r="D72" s="63" t="n">
        <f aca="false">$D$69+(-38.5*$D$68)+$D$67</f>
        <v>19.3</v>
      </c>
      <c r="E72" s="64" t="n">
        <f aca="false">$E$69+$E$67+(D72-$D$69)*$E$68</f>
        <v>-0.3419</v>
      </c>
      <c r="F72" s="58" t="n">
        <f aca="false">F71</f>
        <v>70</v>
      </c>
      <c r="G72" s="62" t="n">
        <f aca="false">E72</f>
        <v>-0.3419</v>
      </c>
    </row>
    <row r="73" customFormat="false" ht="15" hidden="false" customHeight="false" outlineLevel="0" collapsed="false">
      <c r="A73" s="56"/>
      <c r="B73" s="57" t="s">
        <v>181</v>
      </c>
      <c r="C73" s="58" t="n">
        <v>15.9376820772</v>
      </c>
      <c r="D73" s="63" t="n">
        <f aca="false">$D$69+(-49.5*$D$68)+$D$67</f>
        <v>8.3</v>
      </c>
      <c r="E73" s="64" t="n">
        <f aca="false">$E$69+$E$67+(D73-$D$69)*$E$68</f>
        <v>-0.2253</v>
      </c>
      <c r="F73" s="61" t="n">
        <v>-60</v>
      </c>
      <c r="G73" s="62" t="n">
        <f aca="false">E73</f>
        <v>-0.2253</v>
      </c>
    </row>
    <row r="74" customFormat="false" ht="15" hidden="false" customHeight="false" outlineLevel="0" collapsed="false">
      <c r="A74" s="56"/>
      <c r="B74" s="57" t="s">
        <v>182</v>
      </c>
      <c r="C74" s="58" t="n">
        <v>15.942325852</v>
      </c>
      <c r="D74" s="63" t="n">
        <f aca="false">$D$69+(-66*$D$68)+$D$67</f>
        <v>-8.2</v>
      </c>
      <c r="E74" s="64" t="n">
        <f aca="false">$E$69+$E$67+(D74-$D$69)*$E$68</f>
        <v>-0.0504</v>
      </c>
      <c r="F74" s="58" t="n">
        <v>-60</v>
      </c>
      <c r="G74" s="62" t="n">
        <f aca="false">E74</f>
        <v>-0.0504</v>
      </c>
    </row>
    <row r="75" customFormat="false" ht="15" hidden="false" customHeight="false" outlineLevel="0" collapsed="false">
      <c r="A75" s="56"/>
      <c r="B75" s="57" t="s">
        <v>183</v>
      </c>
      <c r="C75" s="58" t="n">
        <v>15.9376914448</v>
      </c>
      <c r="D75" s="63" t="n">
        <f aca="false">$D$69+(-77*$D$68)+$D$67</f>
        <v>-19.2</v>
      </c>
      <c r="E75" s="64" t="n">
        <f aca="false">$E$69+$E$67+(D75-$D$69)*$E$68</f>
        <v>0.0662</v>
      </c>
      <c r="F75" s="58" t="n">
        <v>-60</v>
      </c>
      <c r="G75" s="62" t="n">
        <f aca="false">E75</f>
        <v>0.0662</v>
      </c>
    </row>
    <row r="76" customFormat="false" ht="15" hidden="false" customHeight="false" outlineLevel="0" collapsed="false">
      <c r="A76" s="56"/>
      <c r="B76" s="57" t="s">
        <v>184</v>
      </c>
      <c r="C76" s="58" t="n">
        <v>15.9376522712</v>
      </c>
      <c r="D76" s="63" t="n">
        <f aca="false">$D$69+(-88*$D$68)+$D$67</f>
        <v>-30.2</v>
      </c>
      <c r="E76" s="64" t="n">
        <f aca="false">$E$69+$E$67+(D76-$D$69)*$E$68</f>
        <v>0.1828</v>
      </c>
      <c r="F76" s="58" t="n">
        <v>-60</v>
      </c>
      <c r="G76" s="62" t="n">
        <f aca="false">E76</f>
        <v>0.1828</v>
      </c>
    </row>
    <row r="77" customFormat="false" ht="15" hidden="false" customHeight="false" outlineLevel="0" collapsed="false">
      <c r="A77" s="56"/>
      <c r="B77" s="57" t="s">
        <v>185</v>
      </c>
      <c r="C77" s="58" t="n">
        <v>16.0783</v>
      </c>
      <c r="D77" s="63" t="n">
        <f aca="false">$D$69+(0*$D$68)+$D$67</f>
        <v>57.8</v>
      </c>
      <c r="E77" s="64" t="n">
        <f aca="false">$E$69+$E$67+(D77-$D$69)*$E$68+11</f>
        <v>10.25</v>
      </c>
      <c r="F77" s="61" t="n">
        <f aca="false">F69</f>
        <v>70</v>
      </c>
      <c r="G77" s="62" t="n">
        <f aca="false">E77</f>
        <v>10.25</v>
      </c>
    </row>
    <row r="78" customFormat="false" ht="15" hidden="false" customHeight="false" outlineLevel="0" collapsed="false">
      <c r="A78" s="56"/>
      <c r="B78" s="57" t="s">
        <v>186</v>
      </c>
      <c r="C78" s="58" t="n">
        <v>16.0974655336506</v>
      </c>
      <c r="D78" s="63" t="n">
        <f aca="false">$D$69+(-11*$D$68)+$D$67</f>
        <v>46.8</v>
      </c>
      <c r="E78" s="64" t="n">
        <f aca="false">$E$69+$E$67+(D78-$D$69)*$E$68+11</f>
        <v>10.3666</v>
      </c>
      <c r="F78" s="58" t="n">
        <f aca="false">F77</f>
        <v>70</v>
      </c>
      <c r="G78" s="62" t="n">
        <f aca="false">E78</f>
        <v>10.3666</v>
      </c>
    </row>
    <row r="79" customFormat="false" ht="15" hidden="false" customHeight="false" outlineLevel="0" collapsed="false">
      <c r="A79" s="56"/>
      <c r="B79" s="57" t="s">
        <v>187</v>
      </c>
      <c r="C79" s="58" t="n">
        <v>16.116131407206</v>
      </c>
      <c r="D79" s="63" t="n">
        <f aca="false">$D$69+(-22*$D$68)+$D$67</f>
        <v>35.8</v>
      </c>
      <c r="E79" s="64" t="n">
        <f aca="false">$E$69+$E$67+(D79-$D$69)*$E$68+11</f>
        <v>10.4832</v>
      </c>
      <c r="F79" s="58" t="n">
        <f aca="false">F78</f>
        <v>70</v>
      </c>
      <c r="G79" s="62" t="n">
        <f aca="false">E79</f>
        <v>10.4832</v>
      </c>
    </row>
    <row r="80" customFormat="false" ht="15" hidden="false" customHeight="false" outlineLevel="0" collapsed="false">
      <c r="A80" s="56"/>
      <c r="B80" s="57" t="s">
        <v>188</v>
      </c>
      <c r="C80" s="58" t="n">
        <v>16.1348142760027</v>
      </c>
      <c r="D80" s="63" t="n">
        <f aca="false">$D$69+(-33*$D$68)+$D$67</f>
        <v>24.8</v>
      </c>
      <c r="E80" s="64" t="n">
        <f aca="false">$E$69+$E$67+(D80-$D$69)*$E$68+11</f>
        <v>10.5998</v>
      </c>
      <c r="F80" s="58" t="n">
        <f aca="false">F79</f>
        <v>70</v>
      </c>
      <c r="G80" s="62" t="n">
        <f aca="false">E80</f>
        <v>10.5998</v>
      </c>
    </row>
    <row r="81" customFormat="false" ht="15" hidden="false" customHeight="false" outlineLevel="0" collapsed="false">
      <c r="A81" s="56"/>
      <c r="B81" s="57" t="s">
        <v>189</v>
      </c>
      <c r="C81" s="58" t="n">
        <v>16.1722004078858</v>
      </c>
      <c r="D81" s="63" t="n">
        <f aca="false">$D$69+(-55*$D$68)+$D$67</f>
        <v>2.8</v>
      </c>
      <c r="E81" s="64" t="n">
        <f aca="false">$E$69+$E$67+(D81-$D$69)*$E$68+11</f>
        <v>10.833</v>
      </c>
      <c r="F81" s="61" t="n">
        <v>-60</v>
      </c>
      <c r="G81" s="62" t="n">
        <f aca="false">E81</f>
        <v>10.833</v>
      </c>
    </row>
    <row r="82" customFormat="false" ht="15" hidden="false" customHeight="false" outlineLevel="0" collapsed="false">
      <c r="A82" s="56"/>
      <c r="B82" s="57" t="s">
        <v>190</v>
      </c>
      <c r="C82" s="58" t="n">
        <v>16.1909325628824</v>
      </c>
      <c r="D82" s="63" t="n">
        <f aca="false">$D$69+(-66*$D$68)+$D$67</f>
        <v>-8.2</v>
      </c>
      <c r="E82" s="64" t="n">
        <f aca="false">$E$69+$E$67+(D82-$D$69)*$E$68+11</f>
        <v>10.9496</v>
      </c>
      <c r="F82" s="58" t="n">
        <v>-60</v>
      </c>
      <c r="G82" s="62" t="n">
        <f aca="false">E82</f>
        <v>10.9496</v>
      </c>
    </row>
    <row r="83" customFormat="false" ht="15" hidden="false" customHeight="false" outlineLevel="0" collapsed="false">
      <c r="A83" s="56"/>
      <c r="B83" s="57" t="s">
        <v>191</v>
      </c>
      <c r="C83" s="58" t="n">
        <v>16.2097445955133</v>
      </c>
      <c r="D83" s="63" t="n">
        <f aca="false">$D$69+(-77*$D$68)+$D$67</f>
        <v>-19.2</v>
      </c>
      <c r="E83" s="64" t="n">
        <f aca="false">$E$69+$E$67+(D83-$D$69)*$E$68+11</f>
        <v>11.0662</v>
      </c>
      <c r="F83" s="58" t="n">
        <v>-60</v>
      </c>
      <c r="G83" s="62" t="n">
        <f aca="false">E83</f>
        <v>11.0662</v>
      </c>
    </row>
    <row r="84" customFormat="false" ht="15" hidden="false" customHeight="false" outlineLevel="0" collapsed="false">
      <c r="A84" s="56"/>
      <c r="B84" s="57" t="s">
        <v>192</v>
      </c>
      <c r="C84" s="58" t="n">
        <v>16.2283</v>
      </c>
      <c r="D84" s="63" t="n">
        <f aca="false">$D$69+(-88*$D$68)+$D$67</f>
        <v>-30.2</v>
      </c>
      <c r="E84" s="64" t="n">
        <f aca="false">$E$69+$E$67+(D84-$D$69)*$E$68+11</f>
        <v>11.1828</v>
      </c>
      <c r="F84" s="58" t="n">
        <v>-60</v>
      </c>
      <c r="G84" s="62" t="n">
        <f aca="false">E84</f>
        <v>11.1828</v>
      </c>
    </row>
    <row r="85" customFormat="false" ht="15" hidden="false" customHeight="false" outlineLevel="0" collapsed="false">
      <c r="A85" s="65"/>
      <c r="B85" s="66" t="s">
        <v>193</v>
      </c>
      <c r="C85" s="67" t="n">
        <v>16.9393995022516</v>
      </c>
      <c r="D85" s="68" t="n">
        <f aca="false">7+$D$4</f>
        <v>7</v>
      </c>
      <c r="E85" s="69" t="n">
        <f aca="false">1.37+$E$4</f>
        <v>1.37</v>
      </c>
      <c r="F85" s="67" t="n">
        <v>7</v>
      </c>
      <c r="G85" s="70" t="n">
        <v>2.97</v>
      </c>
    </row>
    <row r="86" customFormat="false" ht="15" hidden="false" customHeight="false" outlineLevel="0" collapsed="false">
      <c r="A86" s="65"/>
      <c r="B86" s="71" t="s">
        <v>194</v>
      </c>
      <c r="C86" s="72"/>
      <c r="D86" s="73"/>
      <c r="E86" s="73"/>
      <c r="F86" s="72"/>
      <c r="G86" s="74"/>
    </row>
    <row r="87" customFormat="false" ht="15" hidden="false" customHeight="false" outlineLevel="0" collapsed="false">
      <c r="A87" s="56" t="s">
        <v>131</v>
      </c>
      <c r="B87" s="75" t="s">
        <v>195</v>
      </c>
      <c r="C87" s="76" t="n">
        <v>15.8533</v>
      </c>
      <c r="D87" s="59" t="n">
        <f aca="false">58.05+$D$67</f>
        <v>58.05</v>
      </c>
      <c r="E87" s="60" t="n">
        <f aca="false">27.9+$E$67</f>
        <v>27.9</v>
      </c>
      <c r="F87" s="77" t="n">
        <f aca="false">F69</f>
        <v>70</v>
      </c>
      <c r="G87" s="78" t="n">
        <f aca="false">E87</f>
        <v>27.9</v>
      </c>
    </row>
    <row r="88" customFormat="false" ht="15" hidden="false" customHeight="false" outlineLevel="0" collapsed="false">
      <c r="A88" s="56"/>
      <c r="B88" s="75" t="s">
        <v>196</v>
      </c>
      <c r="C88" s="76" t="n">
        <v>15.8718732136772</v>
      </c>
      <c r="D88" s="79" t="n">
        <f aca="false">$D$87+(-11*$D$68)+$D$67</f>
        <v>47.05</v>
      </c>
      <c r="E88" s="80" t="n">
        <f aca="false">$E$87+$E$67+(D88-$D$87)*$E$68</f>
        <v>28.0166</v>
      </c>
      <c r="F88" s="76" t="n">
        <f aca="false">F87</f>
        <v>70</v>
      </c>
      <c r="G88" s="78" t="n">
        <f aca="false">E88</f>
        <v>28.0166</v>
      </c>
    </row>
    <row r="89" customFormat="false" ht="15" hidden="false" customHeight="false" outlineLevel="0" collapsed="false">
      <c r="A89" s="56"/>
      <c r="B89" s="75" t="s">
        <v>197</v>
      </c>
      <c r="C89" s="76" t="n">
        <v>15.8906679427468</v>
      </c>
      <c r="D89" s="79" t="n">
        <f aca="false">$D$87+(-22*$D$68)+$D$67</f>
        <v>36.05</v>
      </c>
      <c r="E89" s="80" t="n">
        <f aca="false">$E$87+$E$67+(D89-$D$87)*$E$68</f>
        <v>28.1332</v>
      </c>
      <c r="F89" s="76" t="n">
        <f aca="false">F88</f>
        <v>70</v>
      </c>
      <c r="G89" s="78" t="n">
        <f aca="false">E89</f>
        <v>28.1332</v>
      </c>
    </row>
    <row r="90" customFormat="false" ht="15" hidden="false" customHeight="false" outlineLevel="0" collapsed="false">
      <c r="A90" s="56"/>
      <c r="B90" s="75" t="s">
        <v>198</v>
      </c>
      <c r="C90" s="76" t="n">
        <v>15.9190338407361</v>
      </c>
      <c r="D90" s="79" t="n">
        <f aca="false">$D$87+(-38.5*$D$68)+$D$67</f>
        <v>19.55</v>
      </c>
      <c r="E90" s="80" t="n">
        <f aca="false">$E$87+$E$67+(D90-$D$87)*$E$68</f>
        <v>28.3081</v>
      </c>
      <c r="F90" s="76" t="n">
        <f aca="false">F89</f>
        <v>70</v>
      </c>
      <c r="G90" s="78" t="n">
        <f aca="false">E90</f>
        <v>28.3081</v>
      </c>
    </row>
    <row r="91" customFormat="false" ht="15" hidden="false" customHeight="false" outlineLevel="0" collapsed="false">
      <c r="A91" s="56"/>
      <c r="B91" s="75" t="s">
        <v>199</v>
      </c>
      <c r="C91" s="76" t="n">
        <v>15.9376632852437</v>
      </c>
      <c r="D91" s="79" t="n">
        <f aca="false">$D$87+(-49.5*$D$68)+$D$67</f>
        <v>8.55</v>
      </c>
      <c r="E91" s="80" t="n">
        <f aca="false">$E$87+$E$67+(D91-$D$87)*$E$68</f>
        <v>28.4247</v>
      </c>
      <c r="F91" s="77" t="n">
        <v>-60</v>
      </c>
      <c r="G91" s="78" t="n">
        <f aca="false">E91</f>
        <v>28.4247</v>
      </c>
    </row>
    <row r="92" customFormat="false" ht="15" hidden="false" customHeight="false" outlineLevel="0" collapsed="false">
      <c r="A92" s="56"/>
      <c r="B92" s="75" t="s">
        <v>200</v>
      </c>
      <c r="C92" s="76" t="n">
        <v>15.9657889242304</v>
      </c>
      <c r="D92" s="79" t="n">
        <f aca="false">$D$87+(-66*$D$68)+$D$67</f>
        <v>-7.95</v>
      </c>
      <c r="E92" s="80" t="n">
        <f aca="false">$E$87+$E$67+(D92-$D$87)*$E$68</f>
        <v>28.5996</v>
      </c>
      <c r="F92" s="76" t="n">
        <v>-60</v>
      </c>
      <c r="G92" s="78" t="n">
        <f aca="false">E92</f>
        <v>28.5996</v>
      </c>
    </row>
    <row r="93" customFormat="false" ht="15" hidden="false" customHeight="false" outlineLevel="0" collapsed="false">
      <c r="A93" s="56"/>
      <c r="B93" s="75" t="s">
        <v>201</v>
      </c>
      <c r="C93" s="76" t="n">
        <v>15.9846296603431</v>
      </c>
      <c r="D93" s="79" t="n">
        <f aca="false">$D$87+(-77*$D$68)+$D$67</f>
        <v>-18.95</v>
      </c>
      <c r="E93" s="80" t="n">
        <f aca="false">$E$87+$E$67+(D93-$D$87)*$E$68</f>
        <v>28.7162</v>
      </c>
      <c r="F93" s="76" t="n">
        <v>-60</v>
      </c>
      <c r="G93" s="78" t="n">
        <f aca="false">E93</f>
        <v>28.7162</v>
      </c>
    </row>
    <row r="94" customFormat="false" ht="15" hidden="false" customHeight="false" outlineLevel="0" collapsed="false">
      <c r="A94" s="56"/>
      <c r="B94" s="75" t="s">
        <v>202</v>
      </c>
      <c r="C94" s="76" t="n">
        <v>16.0033</v>
      </c>
      <c r="D94" s="79" t="n">
        <f aca="false">$D$87+(-88*$D$68)+$D$67</f>
        <v>-29.95</v>
      </c>
      <c r="E94" s="80" t="n">
        <f aca="false">$E$87+$E$67+(D94-$D$87)*$E$68</f>
        <v>28.8328</v>
      </c>
      <c r="F94" s="76" t="n">
        <v>-60</v>
      </c>
      <c r="G94" s="78" t="n">
        <f aca="false">E94</f>
        <v>28.8328</v>
      </c>
    </row>
    <row r="95" customFormat="false" ht="15" hidden="false" customHeight="false" outlineLevel="0" collapsed="false">
      <c r="A95" s="56"/>
      <c r="B95" s="75" t="s">
        <v>203</v>
      </c>
      <c r="C95" s="76" t="n">
        <v>16.0033</v>
      </c>
      <c r="D95" s="79" t="n">
        <f aca="false">$D$87+(0*$D$68)+$D$67</f>
        <v>58.05</v>
      </c>
      <c r="E95" s="80" t="n">
        <f aca="false">$E$87+$E$67+(D95-$D$87)*$E$68+11</f>
        <v>38.9</v>
      </c>
      <c r="F95" s="77" t="n">
        <f aca="false">F87</f>
        <v>70</v>
      </c>
      <c r="G95" s="78" t="n">
        <f aca="false">E95</f>
        <v>38.9</v>
      </c>
    </row>
    <row r="96" customFormat="false" ht="15" hidden="false" customHeight="false" outlineLevel="0" collapsed="false">
      <c r="A96" s="56"/>
      <c r="B96" s="75" t="s">
        <v>204</v>
      </c>
      <c r="C96" s="76" t="n">
        <v>16.0126292475315</v>
      </c>
      <c r="D96" s="79" t="n">
        <f aca="false">$D$87+(-11*$D$68)+$D$67</f>
        <v>47.05</v>
      </c>
      <c r="E96" s="80" t="n">
        <f aca="false">$E$87+$E$67+(D96-$D$87)*$E$68+11</f>
        <v>39.0166</v>
      </c>
      <c r="F96" s="76" t="n">
        <f aca="false">F95</f>
        <v>70</v>
      </c>
      <c r="G96" s="78" t="n">
        <f aca="false">E96</f>
        <v>39.0166</v>
      </c>
    </row>
    <row r="97" customFormat="false" ht="15" hidden="false" customHeight="false" outlineLevel="0" collapsed="false">
      <c r="A97" s="56"/>
      <c r="B97" s="75" t="s">
        <v>205</v>
      </c>
      <c r="C97" s="76" t="n">
        <v>16.022009567586</v>
      </c>
      <c r="D97" s="79" t="n">
        <f aca="false">$D$87+(-22*$D$68)+$D$67</f>
        <v>36.05</v>
      </c>
      <c r="E97" s="80" t="n">
        <f aca="false">$E$87+$E$67+(D97-$D$87)*$E$68+11</f>
        <v>39.1332</v>
      </c>
      <c r="F97" s="76" t="n">
        <f aca="false">F96</f>
        <v>70</v>
      </c>
      <c r="G97" s="78" t="n">
        <f aca="false">E97</f>
        <v>39.1332</v>
      </c>
    </row>
    <row r="98" customFormat="false" ht="15" hidden="false" customHeight="false" outlineLevel="0" collapsed="false">
      <c r="A98" s="56"/>
      <c r="B98" s="75" t="s">
        <v>206</v>
      </c>
      <c r="C98" s="76" t="n">
        <v>16.031364351379</v>
      </c>
      <c r="D98" s="79" t="n">
        <f aca="false">$D$87+(-33*$D$68)+$D$67</f>
        <v>25.05</v>
      </c>
      <c r="E98" s="80" t="n">
        <f aca="false">$E$87+$E$67+(D98-$D$87)*$E$68+11</f>
        <v>39.2498</v>
      </c>
      <c r="F98" s="76" t="n">
        <f aca="false">F97</f>
        <v>70</v>
      </c>
      <c r="G98" s="78" t="n">
        <f aca="false">E98</f>
        <v>39.2498</v>
      </c>
    </row>
    <row r="99" customFormat="false" ht="15" hidden="false" customHeight="false" outlineLevel="0" collapsed="false">
      <c r="A99" s="56"/>
      <c r="B99" s="75" t="s">
        <v>207</v>
      </c>
      <c r="C99" s="76" t="n">
        <v>16.0501845760981</v>
      </c>
      <c r="D99" s="79" t="n">
        <f aca="false">$D$87+(-55*$D$68)+$D$67</f>
        <v>3.05</v>
      </c>
      <c r="E99" s="80" t="n">
        <f aca="false">$E$87+$E$67+(D99-$D$87)*$E$68+11</f>
        <v>39.483</v>
      </c>
      <c r="F99" s="77" t="n">
        <v>-60</v>
      </c>
      <c r="G99" s="78" t="n">
        <f aca="false">E99</f>
        <v>39.483</v>
      </c>
    </row>
    <row r="100" customFormat="false" ht="15" hidden="false" customHeight="false" outlineLevel="0" collapsed="false">
      <c r="A100" s="56"/>
      <c r="B100" s="75" t="s">
        <v>208</v>
      </c>
      <c r="C100" s="76" t="n">
        <v>16.0594457269322</v>
      </c>
      <c r="D100" s="79" t="n">
        <f aca="false">$D$87+(-66*$D$68)+$D$67</f>
        <v>-7.95</v>
      </c>
      <c r="E100" s="80" t="n">
        <f aca="false">$E$87+$E$67+(D100-$D$87)*$E$68+11</f>
        <v>39.5996</v>
      </c>
      <c r="F100" s="76" t="n">
        <v>-60</v>
      </c>
      <c r="G100" s="78" t="n">
        <f aca="false">E100</f>
        <v>39.5996</v>
      </c>
    </row>
    <row r="101" customFormat="false" ht="15" hidden="false" customHeight="false" outlineLevel="0" collapsed="false">
      <c r="A101" s="56"/>
      <c r="B101" s="75" t="s">
        <v>209</v>
      </c>
      <c r="C101" s="76" t="n">
        <v>16.0688260469867</v>
      </c>
      <c r="D101" s="79" t="n">
        <f aca="false">$D$87+(-77*$D$68)+$D$67</f>
        <v>-18.95</v>
      </c>
      <c r="E101" s="80" t="n">
        <f aca="false">$E$87+$E$67+(D101-$D$87)*$E$68+11</f>
        <v>39.7162</v>
      </c>
      <c r="F101" s="76" t="n">
        <v>-60</v>
      </c>
      <c r="G101" s="78" t="n">
        <f aca="false">E101</f>
        <v>39.7162</v>
      </c>
    </row>
    <row r="102" customFormat="false" ht="15" hidden="false" customHeight="false" outlineLevel="0" collapsed="false">
      <c r="A102" s="56"/>
      <c r="B102" s="75" t="s">
        <v>210</v>
      </c>
      <c r="C102" s="76" t="n">
        <v>16.0783</v>
      </c>
      <c r="D102" s="79" t="n">
        <f aca="false">$D$87+(-88*$D$68)+$D$67</f>
        <v>-29.95</v>
      </c>
      <c r="E102" s="80" t="n">
        <f aca="false">$E$87+$E$67+(D102-$D$87)*$E$68+11</f>
        <v>39.8328</v>
      </c>
      <c r="F102" s="76" t="n">
        <v>-60</v>
      </c>
      <c r="G102" s="78" t="n">
        <f aca="false">E102</f>
        <v>39.8328</v>
      </c>
    </row>
    <row r="103" customFormat="false" ht="15" hidden="false" customHeight="false" outlineLevel="0" collapsed="false">
      <c r="A103" s="65"/>
      <c r="B103" s="82" t="s">
        <v>211</v>
      </c>
      <c r="C103" s="83" t="n">
        <v>16.9309615926389</v>
      </c>
      <c r="D103" s="111" t="n">
        <f aca="false">7+$D$4</f>
        <v>7</v>
      </c>
      <c r="E103" s="112" t="n">
        <f aca="false">1.37+$E$4</f>
        <v>1.37</v>
      </c>
      <c r="F103" s="83" t="n">
        <v>7</v>
      </c>
      <c r="G103" s="84" t="n">
        <f aca="false">E103</f>
        <v>1.37</v>
      </c>
    </row>
    <row r="104" customFormat="false" ht="15" hidden="false" customHeight="false" outlineLevel="0" collapsed="false">
      <c r="A104" s="65"/>
      <c r="B104" s="85" t="s">
        <v>212</v>
      </c>
      <c r="C104" s="86"/>
      <c r="D104" s="87"/>
      <c r="E104" s="87"/>
      <c r="F104" s="86"/>
      <c r="G104" s="88"/>
    </row>
    <row r="105" customFormat="false" ht="15" hidden="false" customHeight="false" outlineLevel="0" collapsed="false">
      <c r="A105" s="56" t="s">
        <v>150</v>
      </c>
      <c r="B105" s="89" t="s">
        <v>213</v>
      </c>
      <c r="C105" s="90" t="n">
        <v>16.3783</v>
      </c>
      <c r="D105" s="59" t="n">
        <f aca="false">58.32+$D$67</f>
        <v>58.32</v>
      </c>
      <c r="E105" s="60" t="n">
        <f aca="false">56.32+$E$67</f>
        <v>56.32</v>
      </c>
      <c r="F105" s="91" t="n">
        <f aca="false">F69</f>
        <v>70</v>
      </c>
      <c r="G105" s="92" t="n">
        <f aca="false">E105</f>
        <v>56.32</v>
      </c>
    </row>
    <row r="106" customFormat="false" ht="15" hidden="false" customHeight="false" outlineLevel="0" collapsed="false">
      <c r="A106" s="56"/>
      <c r="B106" s="89" t="s">
        <v>214</v>
      </c>
      <c r="C106" s="90" t="n">
        <v>16.3867377127298</v>
      </c>
      <c r="D106" s="93" t="n">
        <f aca="false">$D$105+(-11*$D$68)+$D$67</f>
        <v>47.32</v>
      </c>
      <c r="E106" s="94" t="n">
        <f aca="false">$E$87+$E$67+(D106-$D$87)*$E$68</f>
        <v>28.013738</v>
      </c>
      <c r="F106" s="91" t="n">
        <f aca="false">F70</f>
        <v>70</v>
      </c>
      <c r="G106" s="95" t="n">
        <f aca="false">E106</f>
        <v>28.013738</v>
      </c>
    </row>
    <row r="107" customFormat="false" ht="15" hidden="false" customHeight="false" outlineLevel="0" collapsed="false">
      <c r="A107" s="56"/>
      <c r="B107" s="89" t="s">
        <v>215</v>
      </c>
      <c r="C107" s="90" t="n">
        <v>16.3949853868845</v>
      </c>
      <c r="D107" s="93" t="n">
        <f aca="false">$D$105+(-22*$D$68)+$D$67</f>
        <v>36.32</v>
      </c>
      <c r="E107" s="94" t="n">
        <f aca="false">$E$87+$E$67+(D107-$D$87)*$E$68</f>
        <v>28.130338</v>
      </c>
      <c r="F107" s="91" t="n">
        <f aca="false">F71</f>
        <v>70</v>
      </c>
      <c r="G107" s="95" t="n">
        <f aca="false">E107</f>
        <v>28.130338</v>
      </c>
    </row>
    <row r="108" customFormat="false" ht="15" hidden="false" customHeight="false" outlineLevel="0" collapsed="false">
      <c r="A108" s="56"/>
      <c r="B108" s="89" t="s">
        <v>216</v>
      </c>
      <c r="C108" s="90" t="n">
        <v>16.4076723621511</v>
      </c>
      <c r="D108" s="93" t="n">
        <f aca="false">$D$105+(-38.5*$D$68)+$D$67</f>
        <v>19.82</v>
      </c>
      <c r="E108" s="94" t="n">
        <f aca="false">$E$87+$E$67+(D108-$D$87)*$E$68</f>
        <v>28.305238</v>
      </c>
      <c r="F108" s="91" t="n">
        <f aca="false">F72</f>
        <v>70</v>
      </c>
      <c r="G108" s="95" t="n">
        <f aca="false">E108</f>
        <v>28.305238</v>
      </c>
    </row>
    <row r="109" customFormat="false" ht="15" hidden="false" customHeight="false" outlineLevel="0" collapsed="false">
      <c r="A109" s="56"/>
      <c r="B109" s="89" t="s">
        <v>217</v>
      </c>
      <c r="C109" s="90" t="n">
        <v>16.4159656455639</v>
      </c>
      <c r="D109" s="93" t="n">
        <f aca="false">$D$105+(-49.5*$D$68)+$D$67</f>
        <v>8.82</v>
      </c>
      <c r="E109" s="94" t="n">
        <f aca="false">$E$87+$E$67+(D109-$D$87)*$E$68</f>
        <v>28.421838</v>
      </c>
      <c r="F109" s="91" t="n">
        <f aca="false">F73</f>
        <v>-60</v>
      </c>
      <c r="G109" s="95" t="n">
        <f aca="false">E109</f>
        <v>28.421838</v>
      </c>
    </row>
    <row r="110" customFormat="false" ht="15" hidden="false" customHeight="false" outlineLevel="0" collapsed="false">
      <c r="A110" s="56"/>
      <c r="B110" s="89" t="s">
        <v>218</v>
      </c>
      <c r="C110" s="90" t="n">
        <v>16.4285309961425</v>
      </c>
      <c r="D110" s="93" t="n">
        <f aca="false">$D$105+(-66*$D$68)+$D$67</f>
        <v>-7.68</v>
      </c>
      <c r="E110" s="94" t="n">
        <f aca="false">$E$87+$E$67+(D110-$D$87)*$E$68</f>
        <v>28.596738</v>
      </c>
      <c r="F110" s="91" t="n">
        <f aca="false">F74</f>
        <v>-60</v>
      </c>
      <c r="G110" s="95" t="n">
        <f aca="false">E110</f>
        <v>28.596738</v>
      </c>
    </row>
    <row r="111" customFormat="false" ht="15" hidden="false" customHeight="false" outlineLevel="0" collapsed="false">
      <c r="A111" s="56"/>
      <c r="B111" s="89" t="s">
        <v>219</v>
      </c>
      <c r="C111" s="90" t="n">
        <v>16.4369383027003</v>
      </c>
      <c r="D111" s="93" t="n">
        <f aca="false">$D$105+(-77*$D$68)+$D$67</f>
        <v>-18.68</v>
      </c>
      <c r="E111" s="94" t="n">
        <f aca="false">$E$87+$E$67+(D111-$D$87)*$E$68</f>
        <v>28.713338</v>
      </c>
      <c r="F111" s="91" t="n">
        <f aca="false">F75</f>
        <v>-60</v>
      </c>
      <c r="G111" s="95" t="n">
        <f aca="false">E111</f>
        <v>28.713338</v>
      </c>
    </row>
    <row r="112" customFormat="false" ht="15" hidden="false" customHeight="false" outlineLevel="0" collapsed="false">
      <c r="A112" s="56"/>
      <c r="B112" s="89" t="s">
        <v>220</v>
      </c>
      <c r="C112" s="90" t="n">
        <v>16.4453</v>
      </c>
      <c r="D112" s="93" t="n">
        <f aca="false">$D$105+(-88*$D$68)+$D$67</f>
        <v>-29.68</v>
      </c>
      <c r="E112" s="94" t="n">
        <f aca="false">$E$87+$E$67+(D112-$D$87)*$E$68</f>
        <v>28.829938</v>
      </c>
      <c r="F112" s="91" t="n">
        <f aca="false">F76</f>
        <v>-60</v>
      </c>
      <c r="G112" s="95" t="n">
        <f aca="false">E112</f>
        <v>28.829938</v>
      </c>
    </row>
    <row r="113" customFormat="false" ht="15" hidden="false" customHeight="false" outlineLevel="0" collapsed="false">
      <c r="A113" s="56"/>
      <c r="B113" s="89" t="s">
        <v>221</v>
      </c>
      <c r="C113" s="90" t="n">
        <v>16.3783</v>
      </c>
      <c r="D113" s="93" t="n">
        <f aca="false">$D$105+(0*$D$68)+$D$67</f>
        <v>58.32</v>
      </c>
      <c r="E113" s="94" t="n">
        <f aca="false">$E$87+$E$67+(D113-$D$87)*$E$68+11</f>
        <v>38.897138</v>
      </c>
      <c r="F113" s="91" t="n">
        <f aca="false">F77</f>
        <v>70</v>
      </c>
      <c r="G113" s="95" t="n">
        <f aca="false">E113</f>
        <v>38.897138</v>
      </c>
    </row>
    <row r="114" customFormat="false" ht="15" hidden="false" customHeight="false" outlineLevel="0" collapsed="false">
      <c r="A114" s="56"/>
      <c r="B114" s="89" t="s">
        <v>222</v>
      </c>
      <c r="C114" s="90" t="n">
        <v>16.3969628104798</v>
      </c>
      <c r="D114" s="93" t="n">
        <f aca="false">$D$105+(-11*$D$68)+$D$67</f>
        <v>47.32</v>
      </c>
      <c r="E114" s="94" t="n">
        <f aca="false">$E$87+$E$67+(D114-$D$87)*$E$68+11</f>
        <v>39.013738</v>
      </c>
      <c r="F114" s="91" t="n">
        <f aca="false">F78</f>
        <v>70</v>
      </c>
      <c r="G114" s="95" t="n">
        <f aca="false">E114</f>
        <v>39.013738</v>
      </c>
    </row>
    <row r="115" customFormat="false" ht="15" hidden="false" customHeight="false" outlineLevel="0" collapsed="false">
      <c r="A115" s="56"/>
      <c r="B115" s="89" t="s">
        <v>223</v>
      </c>
      <c r="C115" s="90" t="n">
        <v>16.4158808097993</v>
      </c>
      <c r="D115" s="93" t="n">
        <f aca="false">$D$105+(-22*$D$68)+$D$67</f>
        <v>36.32</v>
      </c>
      <c r="E115" s="94" t="n">
        <f aca="false">$E$87+$E$67+(D115-$D$87)*$E$68+11</f>
        <v>39.130338</v>
      </c>
      <c r="F115" s="91" t="n">
        <f aca="false">F79</f>
        <v>70</v>
      </c>
      <c r="G115" s="95" t="n">
        <f aca="false">E115</f>
        <v>39.130338</v>
      </c>
    </row>
    <row r="116" customFormat="false" ht="15" hidden="false" customHeight="false" outlineLevel="0" collapsed="false">
      <c r="A116" s="56"/>
      <c r="B116" s="89" t="s">
        <v>224</v>
      </c>
      <c r="C116" s="90" t="n">
        <v>16.434594658047</v>
      </c>
      <c r="D116" s="93" t="n">
        <f aca="false">$D$105+(-33*$D$68)+$D$67</f>
        <v>25.32</v>
      </c>
      <c r="E116" s="94" t="n">
        <f aca="false">$E$87+$E$67+(D116-$D$87)*$E$68+11</f>
        <v>39.246938</v>
      </c>
      <c r="F116" s="91" t="n">
        <f aca="false">F80</f>
        <v>70</v>
      </c>
      <c r="G116" s="95" t="n">
        <f aca="false">E116</f>
        <v>39.246938</v>
      </c>
    </row>
    <row r="117" customFormat="false" ht="15" hidden="false" customHeight="false" outlineLevel="0" collapsed="false">
      <c r="A117" s="56"/>
      <c r="B117" s="89" t="s">
        <v>225</v>
      </c>
      <c r="C117" s="90" t="n">
        <v>16.4719543041851</v>
      </c>
      <c r="D117" s="93" t="n">
        <f aca="false">$D$105+(-55*$D$68)+$D$67</f>
        <v>3.32</v>
      </c>
      <c r="E117" s="94" t="n">
        <f aca="false">$E$87+$E$67+(D117-$D$87)*$E$68+11</f>
        <v>39.480138</v>
      </c>
      <c r="F117" s="91" t="n">
        <f aca="false">F81</f>
        <v>-60</v>
      </c>
      <c r="G117" s="95" t="n">
        <f aca="false">E117</f>
        <v>39.480138</v>
      </c>
    </row>
    <row r="118" customFormat="false" ht="15" hidden="false" customHeight="false" outlineLevel="0" collapsed="false">
      <c r="A118" s="56"/>
      <c r="B118" s="89" t="s">
        <v>226</v>
      </c>
      <c r="C118" s="90" t="n">
        <v>16.4907191902007</v>
      </c>
      <c r="D118" s="93" t="n">
        <f aca="false">$D$105+(-66*$D$68)+$D$67</f>
        <v>-7.68</v>
      </c>
      <c r="E118" s="94" t="n">
        <f aca="false">$E$87+$E$67+(D118-$D$87)*$E$68+11</f>
        <v>39.596738</v>
      </c>
      <c r="F118" s="91" t="n">
        <f aca="false">F82</f>
        <v>-60</v>
      </c>
      <c r="G118" s="95" t="n">
        <f aca="false">E118</f>
        <v>39.596738</v>
      </c>
    </row>
    <row r="119" customFormat="false" ht="15" hidden="false" customHeight="false" outlineLevel="0" collapsed="false">
      <c r="A119" s="56"/>
      <c r="B119" s="89" t="s">
        <v>227</v>
      </c>
      <c r="C119" s="90" t="n">
        <v>16.5093820006805</v>
      </c>
      <c r="D119" s="93" t="n">
        <f aca="false">$D$105+(-77*$D$68)+$D$67</f>
        <v>-18.68</v>
      </c>
      <c r="E119" s="94" t="n">
        <f aca="false">$E$87+$E$67+(D119-$D$87)*$E$68+11</f>
        <v>39.713338</v>
      </c>
      <c r="F119" s="91" t="n">
        <f aca="false">F83</f>
        <v>-60</v>
      </c>
      <c r="G119" s="95" t="n">
        <f aca="false">E119</f>
        <v>39.713338</v>
      </c>
    </row>
    <row r="120" customFormat="false" ht="15" hidden="false" customHeight="false" outlineLevel="0" collapsed="false">
      <c r="A120" s="56"/>
      <c r="B120" s="89" t="s">
        <v>228</v>
      </c>
      <c r="C120" s="90" t="n">
        <v>16.5283</v>
      </c>
      <c r="D120" s="93" t="n">
        <f aca="false">$D$105+(-88*$D$68)+$D$67</f>
        <v>-29.68</v>
      </c>
      <c r="E120" s="94" t="n">
        <f aca="false">$E$87+$E$67+(D120-$D$87)*$E$68+11</f>
        <v>39.829938</v>
      </c>
      <c r="F120" s="91" t="n">
        <f aca="false">F84</f>
        <v>-60</v>
      </c>
      <c r="G120" s="95" t="n">
        <f aca="false">E120</f>
        <v>39.829938</v>
      </c>
    </row>
    <row r="121" customFormat="false" ht="15" hidden="false" customHeight="false" outlineLevel="0" collapsed="false">
      <c r="A121" s="65"/>
      <c r="B121" s="96" t="s">
        <v>229</v>
      </c>
      <c r="C121" s="97" t="n">
        <v>17.412993442251</v>
      </c>
      <c r="D121" s="113" t="n">
        <v>13.57</v>
      </c>
      <c r="E121" s="114" t="n">
        <v>59.5</v>
      </c>
      <c r="F121" s="97" t="n">
        <f aca="false">D121</f>
        <v>13.57</v>
      </c>
      <c r="G121" s="98" t="n">
        <f aca="false">E121-2</f>
        <v>57.5</v>
      </c>
    </row>
    <row r="122" customFormat="false" ht="15" hidden="false" customHeight="false" outlineLevel="0" collapsed="false">
      <c r="A122" s="65"/>
      <c r="B122" s="99" t="s">
        <v>230</v>
      </c>
      <c r="C122" s="100" t="n">
        <v>15</v>
      </c>
      <c r="D122" s="101" t="n">
        <f aca="false">6+$D$4</f>
        <v>6</v>
      </c>
      <c r="E122" s="101" t="n">
        <f aca="false">17+$D$4</f>
        <v>17</v>
      </c>
      <c r="F122" s="100" t="n">
        <v>3</v>
      </c>
      <c r="G122" s="102" t="n">
        <f aca="false">E122</f>
        <v>17</v>
      </c>
    </row>
    <row r="123" customFormat="false" ht="15" hidden="false" customHeight="false" outlineLevel="0" collapsed="false">
      <c r="A123" s="65"/>
      <c r="B123" s="89" t="s">
        <v>231</v>
      </c>
      <c r="C123" s="90" t="n">
        <v>16.5283</v>
      </c>
      <c r="D123" s="93" t="n">
        <f aca="false">F123</f>
        <v>70</v>
      </c>
      <c r="E123" s="94" t="n">
        <f aca="false">$E$42+$E$4+(D123-$D$42)*$E$5+11</f>
        <v>67.998242</v>
      </c>
      <c r="F123" s="91" t="n">
        <f aca="false">F87</f>
        <v>70</v>
      </c>
      <c r="G123" s="95" t="n">
        <f aca="false">E123</f>
        <v>67.998242</v>
      </c>
    </row>
    <row r="124" customFormat="false" ht="15" hidden="false" customHeight="false" outlineLevel="0" collapsed="false">
      <c r="A124" s="115"/>
      <c r="B124" s="89"/>
    </row>
    <row r="125" customFormat="false" ht="15" hidden="false" customHeight="false" outlineLevel="0" collapsed="false">
      <c r="A125" s="115"/>
      <c r="B125" s="89" t="s">
        <v>232</v>
      </c>
      <c r="C125" s="116" t="n">
        <v>5.185</v>
      </c>
      <c r="D125" s="48" t="n">
        <v>-9.3266</v>
      </c>
      <c r="E125" s="48" t="n">
        <v>19.218</v>
      </c>
      <c r="F125" s="48" t="n">
        <v>8</v>
      </c>
      <c r="G125" s="48" t="n">
        <f aca="false">E125</f>
        <v>19.218</v>
      </c>
    </row>
    <row r="126" customFormat="false" ht="15" hidden="false" customHeight="false" outlineLevel="0" collapsed="false">
      <c r="B126" s="89" t="s">
        <v>233</v>
      </c>
      <c r="C126" s="117" t="n">
        <v>4.945</v>
      </c>
      <c r="D126" s="48" t="n">
        <v>-27.346</v>
      </c>
      <c r="E126" s="48" t="n">
        <v>19.271</v>
      </c>
      <c r="F126" s="48" t="n">
        <v>8</v>
      </c>
      <c r="G126" s="48" t="n">
        <f aca="false">E126</f>
        <v>19.271</v>
      </c>
    </row>
    <row r="127" customFormat="false" ht="15" hidden="false" customHeight="false" outlineLevel="0" collapsed="false">
      <c r="B127" s="89" t="s">
        <v>234</v>
      </c>
      <c r="C127" s="117" t="n">
        <v>5.065</v>
      </c>
      <c r="D127" s="48" t="n">
        <v>-18.471</v>
      </c>
      <c r="E127" s="48" t="n">
        <v>24.5</v>
      </c>
      <c r="F127" s="48" t="n">
        <v>8</v>
      </c>
      <c r="G127" s="48" t="n">
        <f aca="false">E127</f>
        <v>24.5</v>
      </c>
    </row>
    <row r="128" customFormat="false" ht="15" hidden="false" customHeight="false" outlineLevel="0" collapsed="false">
      <c r="B128" s="89" t="s">
        <v>235</v>
      </c>
      <c r="C128" s="118" t="n">
        <f aca="false">C127+((C126-C127)/2)</f>
        <v>5.005</v>
      </c>
      <c r="D128" s="48" t="n">
        <v>8</v>
      </c>
      <c r="E128" s="48" t="n">
        <v>24.05</v>
      </c>
      <c r="F128" s="48" t="n">
        <f aca="false">D128</f>
        <v>8</v>
      </c>
      <c r="G128" s="48" t="n">
        <f aca="false">E128</f>
        <v>24.05</v>
      </c>
    </row>
    <row r="129" customFormat="false" ht="15" hidden="false" customHeight="false" outlineLevel="0" collapsed="false">
      <c r="B129" s="119" t="s">
        <v>236</v>
      </c>
      <c r="C129" s="48" t="n">
        <v>12.56</v>
      </c>
      <c r="D129" s="48" t="n">
        <v>10.1</v>
      </c>
      <c r="F129" s="48" t="n">
        <v>22.4</v>
      </c>
      <c r="H129" s="24" t="n">
        <v>5</v>
      </c>
      <c r="I129" s="24" t="n">
        <v>6</v>
      </c>
      <c r="J129" s="24" t="n">
        <v>7</v>
      </c>
      <c r="K129" s="24" t="n">
        <v>8.12</v>
      </c>
    </row>
    <row r="131" customFormat="false" ht="15" hidden="false" customHeight="false" outlineLevel="0" collapsed="false">
      <c r="D131" s="48" t="s">
        <v>237</v>
      </c>
    </row>
    <row r="133" customFormat="false" ht="15" hidden="false" customHeight="false" outlineLevel="0" collapsed="false">
      <c r="A133" s="51" t="s">
        <v>108</v>
      </c>
      <c r="B133" s="120"/>
      <c r="C133" s="120" t="n">
        <v>-5.54</v>
      </c>
      <c r="D133" s="52" t="n">
        <v>0</v>
      </c>
      <c r="E133" s="53" t="n">
        <v>0</v>
      </c>
      <c r="F133" s="120" t="s">
        <v>109</v>
      </c>
      <c r="G133" s="52" t="s">
        <v>110</v>
      </c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</row>
    <row r="134" customFormat="false" ht="15" hidden="false" customHeight="false" outlineLevel="0" collapsed="false">
      <c r="A134" s="54" t="s">
        <v>111</v>
      </c>
      <c r="C134" s="48" t="n">
        <v>0</v>
      </c>
      <c r="D134" s="55" t="n">
        <v>1</v>
      </c>
      <c r="E134" s="55" t="n">
        <v>-0.0106</v>
      </c>
      <c r="F134" s="55"/>
      <c r="G134" s="55"/>
    </row>
    <row r="135" customFormat="false" ht="15" hidden="false" customHeight="false" outlineLevel="0" collapsed="false">
      <c r="A135" s="56" t="s">
        <v>112</v>
      </c>
      <c r="B135" s="57" t="s">
        <v>238</v>
      </c>
      <c r="C135" s="58" t="n">
        <f aca="false">C6+$C$133</f>
        <v>10.3883</v>
      </c>
      <c r="D135" s="59" t="n">
        <f aca="false">50.585+$D$133</f>
        <v>50.585</v>
      </c>
      <c r="E135" s="60" t="n">
        <f aca="false">-2.517+$E$133</f>
        <v>-2.517</v>
      </c>
      <c r="F135" s="61" t="n">
        <v>70</v>
      </c>
      <c r="G135" s="62" t="n">
        <f aca="false">E135</f>
        <v>-2.517</v>
      </c>
    </row>
    <row r="136" customFormat="false" ht="15" hidden="false" customHeight="false" outlineLevel="0" collapsed="false">
      <c r="A136" s="56"/>
      <c r="B136" s="57" t="s">
        <v>239</v>
      </c>
      <c r="C136" s="58" t="n">
        <f aca="false">C7+$C$133</f>
        <v>10.397705922</v>
      </c>
      <c r="D136" s="63" t="n">
        <f aca="false">$D$135+(-11*$D$134)+$D$133</f>
        <v>39.585</v>
      </c>
      <c r="E136" s="64" t="n">
        <f aca="false">$E$135+$E$133+(D136-$D$135)*$E$134</f>
        <v>-2.4004</v>
      </c>
      <c r="F136" s="58" t="n">
        <f aca="false">F135</f>
        <v>70</v>
      </c>
      <c r="G136" s="62" t="n">
        <f aca="false">E136</f>
        <v>-2.4004</v>
      </c>
    </row>
    <row r="137" customFormat="false" ht="15" hidden="false" customHeight="false" outlineLevel="0" collapsed="false">
      <c r="A137" s="56"/>
      <c r="B137" s="57" t="s">
        <v>240</v>
      </c>
      <c r="C137" s="58" t="n">
        <f aca="false">C8+$C$133</f>
        <v>10.397650568</v>
      </c>
      <c r="D137" s="63" t="n">
        <f aca="false">$D$135+(-22*$D$134)+$D$133</f>
        <v>28.585</v>
      </c>
      <c r="E137" s="64" t="n">
        <f aca="false">$E$135+$E$133+(D137-$D$135)*$E$134</f>
        <v>-2.2838</v>
      </c>
      <c r="F137" s="58" t="n">
        <f aca="false">F136</f>
        <v>70</v>
      </c>
      <c r="G137" s="62" t="n">
        <f aca="false">E137</f>
        <v>-2.2838</v>
      </c>
    </row>
    <row r="138" customFormat="false" ht="15" hidden="false" customHeight="false" outlineLevel="0" collapsed="false">
      <c r="A138" s="56"/>
      <c r="B138" s="57" t="s">
        <v>241</v>
      </c>
      <c r="C138" s="58" t="n">
        <f aca="false">C9+$C$133</f>
        <v>10.4023922768</v>
      </c>
      <c r="D138" s="63" t="n">
        <f aca="false">$D$135+(-38.5*$D$134)+$D$133</f>
        <v>12.085</v>
      </c>
      <c r="E138" s="64" t="n">
        <f aca="false">$E$135+$E$133+(D138-$D$135)*$E$134</f>
        <v>-2.1089</v>
      </c>
      <c r="F138" s="58" t="n">
        <f aca="false">F137</f>
        <v>70</v>
      </c>
      <c r="G138" s="62" t="n">
        <f aca="false">E138</f>
        <v>-2.1089</v>
      </c>
    </row>
    <row r="139" customFormat="false" ht="15" hidden="false" customHeight="false" outlineLevel="0" collapsed="false">
      <c r="A139" s="56"/>
      <c r="B139" s="57" t="s">
        <v>242</v>
      </c>
      <c r="C139" s="58" t="n">
        <f aca="false">C10+$C$133</f>
        <v>10.3976820772</v>
      </c>
      <c r="D139" s="63" t="n">
        <f aca="false">$D$135+(-49.5*$D$134)+$D$133</f>
        <v>1.085</v>
      </c>
      <c r="E139" s="64" t="n">
        <f aca="false">$E$135+$E$133+(D139-$D$135)*$E$134</f>
        <v>-1.9923</v>
      </c>
      <c r="F139" s="61" t="n">
        <v>-60</v>
      </c>
      <c r="G139" s="62" t="n">
        <f aca="false">E139</f>
        <v>-1.9923</v>
      </c>
    </row>
    <row r="140" customFormat="false" ht="15" hidden="false" customHeight="false" outlineLevel="0" collapsed="false">
      <c r="A140" s="56"/>
      <c r="B140" s="57" t="s">
        <v>243</v>
      </c>
      <c r="C140" s="58" t="n">
        <f aca="false">C11+$C$133</f>
        <v>10.402325852</v>
      </c>
      <c r="D140" s="63" t="n">
        <f aca="false">$D$135+(-66*$D$134)+$D$133</f>
        <v>-15.415</v>
      </c>
      <c r="E140" s="64" t="n">
        <f aca="false">$E$135+$E$133+(D140-$D$135)*$E$134</f>
        <v>-1.8174</v>
      </c>
      <c r="F140" s="58" t="n">
        <v>-60</v>
      </c>
      <c r="G140" s="62" t="n">
        <f aca="false">E140</f>
        <v>-1.8174</v>
      </c>
    </row>
    <row r="141" customFormat="false" ht="15" hidden="false" customHeight="false" outlineLevel="0" collapsed="false">
      <c r="A141" s="56"/>
      <c r="B141" s="57" t="s">
        <v>244</v>
      </c>
      <c r="C141" s="58" t="n">
        <f aca="false">C12+$C$133</f>
        <v>10.3976914448</v>
      </c>
      <c r="D141" s="63" t="n">
        <f aca="false">$D$135+(-77*$D$134)+$D$133</f>
        <v>-26.415</v>
      </c>
      <c r="E141" s="64" t="n">
        <f aca="false">$E$135+$E$133+(D141-$D$135)*$E$134</f>
        <v>-1.7008</v>
      </c>
      <c r="F141" s="58" t="n">
        <v>-60</v>
      </c>
      <c r="G141" s="62" t="n">
        <f aca="false">E141</f>
        <v>-1.7008</v>
      </c>
    </row>
    <row r="142" customFormat="false" ht="15" hidden="false" customHeight="false" outlineLevel="0" collapsed="false">
      <c r="A142" s="56"/>
      <c r="B142" s="57" t="s">
        <v>245</v>
      </c>
      <c r="C142" s="58" t="n">
        <f aca="false">C13+$C$133</f>
        <v>10.3976522712</v>
      </c>
      <c r="D142" s="63" t="n">
        <f aca="false">$D$135+(-88*$D$134)+$D$133</f>
        <v>-37.415</v>
      </c>
      <c r="E142" s="64" t="n">
        <f aca="false">$E$135+$E$133+(D142-$D$135)*$E$134</f>
        <v>-1.5842</v>
      </c>
      <c r="F142" s="58" t="n">
        <v>-60</v>
      </c>
      <c r="G142" s="62" t="n">
        <f aca="false">E142</f>
        <v>-1.5842</v>
      </c>
    </row>
    <row r="143" customFormat="false" ht="15" hidden="false" customHeight="false" outlineLevel="0" collapsed="false">
      <c r="A143" s="56"/>
      <c r="B143" s="57" t="s">
        <v>246</v>
      </c>
      <c r="C143" s="58" t="n">
        <f aca="false">C14+$C$133</f>
        <v>10.5383</v>
      </c>
      <c r="D143" s="63" t="n">
        <f aca="false">$D$135+(0*$D$134)+$D$133</f>
        <v>50.585</v>
      </c>
      <c r="E143" s="64" t="n">
        <f aca="false">$E$135+$E$133+(D143-$D$135)*$E$134+11</f>
        <v>8.483</v>
      </c>
      <c r="F143" s="61" t="n">
        <f aca="false">F135</f>
        <v>70</v>
      </c>
      <c r="G143" s="62" t="n">
        <f aca="false">E143</f>
        <v>8.483</v>
      </c>
    </row>
    <row r="144" customFormat="false" ht="15" hidden="false" customHeight="false" outlineLevel="0" collapsed="false">
      <c r="A144" s="56"/>
      <c r="B144" s="57" t="s">
        <v>247</v>
      </c>
      <c r="C144" s="58" t="n">
        <f aca="false">C15+$C$133</f>
        <v>10.5574655336506</v>
      </c>
      <c r="D144" s="63" t="n">
        <f aca="false">$D$135+(-11*$D$134)+$D$133</f>
        <v>39.585</v>
      </c>
      <c r="E144" s="64" t="n">
        <f aca="false">$E$135+$E$133+(D144-$D$135)*$E$134+11</f>
        <v>8.5996</v>
      </c>
      <c r="F144" s="58" t="n">
        <f aca="false">F143</f>
        <v>70</v>
      </c>
      <c r="G144" s="62" t="n">
        <f aca="false">E144</f>
        <v>8.5996</v>
      </c>
    </row>
    <row r="145" customFormat="false" ht="15" hidden="false" customHeight="false" outlineLevel="0" collapsed="false">
      <c r="A145" s="56"/>
      <c r="B145" s="57" t="s">
        <v>248</v>
      </c>
      <c r="C145" s="58" t="n">
        <f aca="false">C16+$C$133</f>
        <v>10.576131407206</v>
      </c>
      <c r="D145" s="63" t="n">
        <f aca="false">$D$135+(-22*$D$134)+$D$133</f>
        <v>28.585</v>
      </c>
      <c r="E145" s="64" t="n">
        <f aca="false">$E$135+$E$133+(D145-$D$135)*$E$134+11</f>
        <v>8.7162</v>
      </c>
      <c r="F145" s="58" t="n">
        <f aca="false">F144</f>
        <v>70</v>
      </c>
      <c r="G145" s="62" t="n">
        <f aca="false">E145</f>
        <v>8.7162</v>
      </c>
    </row>
    <row r="146" customFormat="false" ht="15" hidden="false" customHeight="false" outlineLevel="0" collapsed="false">
      <c r="A146" s="56"/>
      <c r="B146" s="57" t="s">
        <v>249</v>
      </c>
      <c r="C146" s="58" t="n">
        <f aca="false">C17+$C$133</f>
        <v>10.5948142760027</v>
      </c>
      <c r="D146" s="63" t="n">
        <f aca="false">$D$135+(-33*$D$134)+$D$133</f>
        <v>17.585</v>
      </c>
      <c r="E146" s="64" t="n">
        <f aca="false">$E$135+$E$133+(D146-$D$135)*$E$134+11</f>
        <v>8.8328</v>
      </c>
      <c r="F146" s="58" t="n">
        <f aca="false">F145</f>
        <v>70</v>
      </c>
      <c r="G146" s="62" t="n">
        <f aca="false">E146</f>
        <v>8.8328</v>
      </c>
    </row>
    <row r="147" customFormat="false" ht="15" hidden="false" customHeight="false" outlineLevel="0" collapsed="false">
      <c r="A147" s="56"/>
      <c r="B147" s="57" t="s">
        <v>250</v>
      </c>
      <c r="C147" s="58" t="n">
        <f aca="false">C18+$C$133</f>
        <v>10.6322004078858</v>
      </c>
      <c r="D147" s="63" t="n">
        <f aca="false">$D$135+(-55*$D$134)+$D$133</f>
        <v>-4.415</v>
      </c>
      <c r="E147" s="64" t="n">
        <f aca="false">$E$135+$E$133+(D147-$D$135)*$E$134+11</f>
        <v>9.066</v>
      </c>
      <c r="F147" s="61" t="n">
        <v>-60</v>
      </c>
      <c r="G147" s="62" t="n">
        <f aca="false">E147</f>
        <v>9.066</v>
      </c>
    </row>
    <row r="148" customFormat="false" ht="15" hidden="false" customHeight="false" outlineLevel="0" collapsed="false">
      <c r="A148" s="56"/>
      <c r="B148" s="57" t="s">
        <v>251</v>
      </c>
      <c r="C148" s="58" t="n">
        <f aca="false">C19+$C$133</f>
        <v>10.6509325628824</v>
      </c>
      <c r="D148" s="63" t="n">
        <f aca="false">$D$135+(-66*$D$134)+$D$133</f>
        <v>-15.415</v>
      </c>
      <c r="E148" s="64" t="n">
        <f aca="false">$E$135+$E$133+(D148-$D$135)*$E$134+11</f>
        <v>9.1826</v>
      </c>
      <c r="F148" s="58" t="n">
        <v>-60</v>
      </c>
      <c r="G148" s="62" t="n">
        <f aca="false">E148</f>
        <v>9.1826</v>
      </c>
    </row>
    <row r="149" customFormat="false" ht="15" hidden="false" customHeight="false" outlineLevel="0" collapsed="false">
      <c r="A149" s="56"/>
      <c r="B149" s="57" t="s">
        <v>252</v>
      </c>
      <c r="C149" s="58" t="n">
        <f aca="false">C20+$C$133</f>
        <v>10.6697445955133</v>
      </c>
      <c r="D149" s="63" t="n">
        <f aca="false">$D$135+(-77*$D$134)+$D$133</f>
        <v>-26.415</v>
      </c>
      <c r="E149" s="64" t="n">
        <f aca="false">$E$135+$E$133+(D149-$D$135)*$E$134+11</f>
        <v>9.2992</v>
      </c>
      <c r="F149" s="58" t="n">
        <v>-60</v>
      </c>
      <c r="G149" s="62" t="n">
        <f aca="false">E149</f>
        <v>9.2992</v>
      </c>
    </row>
    <row r="150" customFormat="false" ht="15" hidden="false" customHeight="false" outlineLevel="0" collapsed="false">
      <c r="A150" s="56"/>
      <c r="B150" s="57" t="s">
        <v>253</v>
      </c>
      <c r="C150" s="58" t="n">
        <f aca="false">C21+$C$133</f>
        <v>10.6883</v>
      </c>
      <c r="D150" s="63" t="n">
        <f aca="false">$D$135+(-88*$D$134)+$D$133</f>
        <v>-37.415</v>
      </c>
      <c r="E150" s="64" t="n">
        <f aca="false">$E$135+$E$133+(D150-$D$135)*$E$134+11</f>
        <v>9.4158</v>
      </c>
      <c r="F150" s="58" t="n">
        <v>-60</v>
      </c>
      <c r="G150" s="62" t="n">
        <f aca="false">E150</f>
        <v>9.4158</v>
      </c>
    </row>
    <row r="151" customFormat="false" ht="15" hidden="false" customHeight="false" outlineLevel="0" collapsed="false">
      <c r="A151" s="65"/>
      <c r="B151" s="66" t="s">
        <v>254</v>
      </c>
      <c r="C151" s="58" t="n">
        <f aca="false">C22+$C$133</f>
        <v>11.3993995022516</v>
      </c>
      <c r="D151" s="68" t="n">
        <f aca="false">7+$D$133</f>
        <v>7</v>
      </c>
      <c r="E151" s="69" t="n">
        <f aca="false">1.37+$E$133</f>
        <v>1.37</v>
      </c>
      <c r="F151" s="67" t="n">
        <v>7</v>
      </c>
      <c r="G151" s="70" t="n">
        <v>2.97</v>
      </c>
    </row>
    <row r="152" customFormat="false" ht="15" hidden="false" customHeight="false" outlineLevel="0" collapsed="false">
      <c r="A152" s="65"/>
      <c r="B152" s="71" t="s">
        <v>255</v>
      </c>
      <c r="C152" s="72"/>
      <c r="D152" s="73"/>
      <c r="E152" s="73"/>
      <c r="F152" s="72"/>
      <c r="G152" s="74"/>
    </row>
    <row r="153" customFormat="false" ht="15" hidden="false" customHeight="false" outlineLevel="0" collapsed="false">
      <c r="A153" s="56" t="s">
        <v>131</v>
      </c>
      <c r="B153" s="75" t="s">
        <v>67</v>
      </c>
      <c r="C153" s="58" t="n">
        <f aca="false">C24+$C$133</f>
        <v>10.3133</v>
      </c>
      <c r="D153" s="59" t="n">
        <f aca="false">51.01+$D$133</f>
        <v>51.01</v>
      </c>
      <c r="E153" s="60" t="n">
        <f aca="false">25.996+$E$133</f>
        <v>25.996</v>
      </c>
      <c r="F153" s="77" t="n">
        <f aca="false">F135</f>
        <v>70</v>
      </c>
      <c r="G153" s="78" t="n">
        <f aca="false">E153</f>
        <v>25.996</v>
      </c>
    </row>
    <row r="154" customFormat="false" ht="15" hidden="false" customHeight="false" outlineLevel="0" collapsed="false">
      <c r="A154" s="56"/>
      <c r="B154" s="75" t="s">
        <v>69</v>
      </c>
      <c r="C154" s="58" t="n">
        <f aca="false">C25+$C$133</f>
        <v>10.3318732136772</v>
      </c>
      <c r="D154" s="79" t="n">
        <f aca="false">$D$153+(-11*$D$134)+$D$133</f>
        <v>40.01</v>
      </c>
      <c r="E154" s="80" t="n">
        <f aca="false">$E$153+$E$133+(D154-$D$153)*$E$134</f>
        <v>26.1126</v>
      </c>
      <c r="F154" s="77" t="n">
        <f aca="false">F136</f>
        <v>70</v>
      </c>
      <c r="G154" s="81" t="n">
        <f aca="false">E154</f>
        <v>26.1126</v>
      </c>
    </row>
    <row r="155" customFormat="false" ht="15" hidden="false" customHeight="false" outlineLevel="0" collapsed="false">
      <c r="A155" s="56"/>
      <c r="B155" s="75" t="s">
        <v>70</v>
      </c>
      <c r="C155" s="58" t="n">
        <f aca="false">C26+$C$133</f>
        <v>10.3506679427468</v>
      </c>
      <c r="D155" s="79" t="n">
        <f aca="false">$D$153+(-22*$D$134)+$D$133</f>
        <v>29.01</v>
      </c>
      <c r="E155" s="80" t="n">
        <f aca="false">$E$153+$E$133+(D155-$D$153)*$E$134</f>
        <v>26.2292</v>
      </c>
      <c r="F155" s="77" t="n">
        <f aca="false">F137</f>
        <v>70</v>
      </c>
      <c r="G155" s="81" t="n">
        <f aca="false">E155</f>
        <v>26.2292</v>
      </c>
    </row>
    <row r="156" customFormat="false" ht="15" hidden="false" customHeight="false" outlineLevel="0" collapsed="false">
      <c r="A156" s="56"/>
      <c r="B156" s="75" t="s">
        <v>71</v>
      </c>
      <c r="C156" s="58" t="n">
        <f aca="false">C27+$C$133</f>
        <v>10.3790338407361</v>
      </c>
      <c r="D156" s="79" t="n">
        <f aca="false">$D$153+(-38.5*$D$134)+$D$133</f>
        <v>12.51</v>
      </c>
      <c r="E156" s="80" t="n">
        <f aca="false">$E$153+$E$133+(D156-$D$153)*$E$134</f>
        <v>26.4041</v>
      </c>
      <c r="F156" s="77" t="n">
        <f aca="false">F138</f>
        <v>70</v>
      </c>
      <c r="G156" s="81" t="n">
        <f aca="false">E156</f>
        <v>26.4041</v>
      </c>
    </row>
    <row r="157" customFormat="false" ht="15" hidden="false" customHeight="false" outlineLevel="0" collapsed="false">
      <c r="A157" s="56"/>
      <c r="B157" s="75" t="s">
        <v>72</v>
      </c>
      <c r="C157" s="58" t="n">
        <f aca="false">C28+$C$133</f>
        <v>10.3976632852437</v>
      </c>
      <c r="D157" s="79" t="n">
        <f aca="false">$D$153+(-49.5*$D$134)+$D$133</f>
        <v>1.51</v>
      </c>
      <c r="E157" s="80" t="n">
        <f aca="false">$E$153+$E$133+(D157-$D$153)*$E$134</f>
        <v>26.5207</v>
      </c>
      <c r="F157" s="77" t="n">
        <f aca="false">F139</f>
        <v>-60</v>
      </c>
      <c r="G157" s="81" t="n">
        <f aca="false">E157</f>
        <v>26.5207</v>
      </c>
    </row>
    <row r="158" customFormat="false" ht="15" hidden="false" customHeight="false" outlineLevel="0" collapsed="false">
      <c r="A158" s="56"/>
      <c r="B158" s="75" t="s">
        <v>73</v>
      </c>
      <c r="C158" s="58" t="n">
        <f aca="false">C29+$C$133</f>
        <v>10.4257889242304</v>
      </c>
      <c r="D158" s="79" t="n">
        <f aca="false">$D$153+(-66*$D$134)+$D$133</f>
        <v>-14.99</v>
      </c>
      <c r="E158" s="80" t="n">
        <f aca="false">$E$153+$E$133+(D158-$D$153)*$E$134</f>
        <v>26.6956</v>
      </c>
      <c r="F158" s="77" t="n">
        <f aca="false">F140</f>
        <v>-60</v>
      </c>
      <c r="G158" s="81" t="n">
        <f aca="false">E158</f>
        <v>26.6956</v>
      </c>
    </row>
    <row r="159" customFormat="false" ht="15" hidden="false" customHeight="false" outlineLevel="0" collapsed="false">
      <c r="A159" s="56"/>
      <c r="B159" s="75" t="s">
        <v>74</v>
      </c>
      <c r="C159" s="58" t="n">
        <f aca="false">C30+$C$133</f>
        <v>10.4446296603431</v>
      </c>
      <c r="D159" s="79" t="n">
        <f aca="false">$D$153+(-77*$D$134)+$D$133</f>
        <v>-25.99</v>
      </c>
      <c r="E159" s="80" t="n">
        <f aca="false">$E$153+$E$133+(D159-$D$153)*$E$134</f>
        <v>26.8122</v>
      </c>
      <c r="F159" s="77" t="n">
        <f aca="false">F141</f>
        <v>-60</v>
      </c>
      <c r="G159" s="81" t="n">
        <f aca="false">E159</f>
        <v>26.8122</v>
      </c>
    </row>
    <row r="160" customFormat="false" ht="15" hidden="false" customHeight="false" outlineLevel="0" collapsed="false">
      <c r="A160" s="56"/>
      <c r="B160" s="75" t="s">
        <v>75</v>
      </c>
      <c r="C160" s="58" t="n">
        <f aca="false">C31+$C$133</f>
        <v>10.4633</v>
      </c>
      <c r="D160" s="79" t="n">
        <f aca="false">$D$153+(-88*$D$134)+$D$133</f>
        <v>-36.99</v>
      </c>
      <c r="E160" s="80" t="n">
        <f aca="false">$E$153+$E$133+(D160-$D$153)*$E$134</f>
        <v>26.9288</v>
      </c>
      <c r="F160" s="77" t="n">
        <f aca="false">F142</f>
        <v>-60</v>
      </c>
      <c r="G160" s="81" t="n">
        <f aca="false">E160</f>
        <v>26.9288</v>
      </c>
    </row>
    <row r="161" customFormat="false" ht="15" hidden="false" customHeight="false" outlineLevel="0" collapsed="false">
      <c r="A161" s="56"/>
      <c r="B161" s="75" t="s">
        <v>76</v>
      </c>
      <c r="C161" s="58" t="n">
        <f aca="false">C32+$C$133</f>
        <v>10.4633</v>
      </c>
      <c r="D161" s="79" t="n">
        <f aca="false">$D$153+(0*$D$134)+$D$133</f>
        <v>51.01</v>
      </c>
      <c r="E161" s="80" t="n">
        <f aca="false">$E$153+$E$133+(D161-$D$153)*$E$134+11</f>
        <v>36.996</v>
      </c>
      <c r="F161" s="77" t="n">
        <f aca="false">F143</f>
        <v>70</v>
      </c>
      <c r="G161" s="81" t="n">
        <f aca="false">E161</f>
        <v>36.996</v>
      </c>
    </row>
    <row r="162" customFormat="false" ht="15" hidden="false" customHeight="false" outlineLevel="0" collapsed="false">
      <c r="A162" s="56"/>
      <c r="B162" s="75" t="s">
        <v>77</v>
      </c>
      <c r="C162" s="58" t="n">
        <f aca="false">C33+$C$133</f>
        <v>10.4726292475315</v>
      </c>
      <c r="D162" s="79" t="n">
        <f aca="false">$D$153+(-11*$D$134)+$D$133</f>
        <v>40.01</v>
      </c>
      <c r="E162" s="80" t="n">
        <f aca="false">$E$153+$E$133+(D162-$D$153)*$E$134+11</f>
        <v>37.1126</v>
      </c>
      <c r="F162" s="77" t="n">
        <f aca="false">F144</f>
        <v>70</v>
      </c>
      <c r="G162" s="81" t="n">
        <f aca="false">E162</f>
        <v>37.1126</v>
      </c>
    </row>
    <row r="163" customFormat="false" ht="15" hidden="false" customHeight="false" outlineLevel="0" collapsed="false">
      <c r="A163" s="56"/>
      <c r="B163" s="75" t="s">
        <v>78</v>
      </c>
      <c r="C163" s="58" t="n">
        <f aca="false">C34+$C$133</f>
        <v>10.482009567586</v>
      </c>
      <c r="D163" s="79" t="n">
        <f aca="false">$D$153+(-22*$D$134)+$D$133</f>
        <v>29.01</v>
      </c>
      <c r="E163" s="80" t="n">
        <f aca="false">$E$153+$E$133+(D163-$D$153)*$E$134+11</f>
        <v>37.2292</v>
      </c>
      <c r="F163" s="77" t="n">
        <f aca="false">F145</f>
        <v>70</v>
      </c>
      <c r="G163" s="81" t="n">
        <f aca="false">E163</f>
        <v>37.2292</v>
      </c>
    </row>
    <row r="164" customFormat="false" ht="15" hidden="false" customHeight="false" outlineLevel="0" collapsed="false">
      <c r="A164" s="56"/>
      <c r="B164" s="75" t="s">
        <v>79</v>
      </c>
      <c r="C164" s="58" t="n">
        <f aca="false">C35+$C$133</f>
        <v>10.491364351379</v>
      </c>
      <c r="D164" s="79" t="n">
        <f aca="false">$D$153+(-33*$D$134)+$D$133</f>
        <v>18.01</v>
      </c>
      <c r="E164" s="80" t="n">
        <f aca="false">$E$153+$E$133+(D164-$D$153)*$E$134+11</f>
        <v>37.3458</v>
      </c>
      <c r="F164" s="77" t="n">
        <f aca="false">F146</f>
        <v>70</v>
      </c>
      <c r="G164" s="81" t="n">
        <f aca="false">E164</f>
        <v>37.3458</v>
      </c>
    </row>
    <row r="165" customFormat="false" ht="15" hidden="false" customHeight="false" outlineLevel="0" collapsed="false">
      <c r="A165" s="56"/>
      <c r="B165" s="75" t="s">
        <v>80</v>
      </c>
      <c r="C165" s="58" t="n">
        <f aca="false">C36+$C$133</f>
        <v>10.5101845760981</v>
      </c>
      <c r="D165" s="79" t="n">
        <f aca="false">$D$153+(-55*$D$134)+$D$133</f>
        <v>-3.99</v>
      </c>
      <c r="E165" s="80" t="n">
        <f aca="false">$E$153+$E$133+(D165-$D$153)*$E$134+11</f>
        <v>37.579</v>
      </c>
      <c r="F165" s="77" t="n">
        <f aca="false">F147</f>
        <v>-60</v>
      </c>
      <c r="G165" s="81" t="n">
        <f aca="false">E165</f>
        <v>37.579</v>
      </c>
    </row>
    <row r="166" customFormat="false" ht="15" hidden="false" customHeight="false" outlineLevel="0" collapsed="false">
      <c r="A166" s="56"/>
      <c r="B166" s="75" t="s">
        <v>81</v>
      </c>
      <c r="C166" s="58" t="n">
        <f aca="false">C37+$C$133</f>
        <v>10.5194457269322</v>
      </c>
      <c r="D166" s="79" t="n">
        <f aca="false">$D$153+(-66*$D$134)+$D$133</f>
        <v>-14.99</v>
      </c>
      <c r="E166" s="80" t="n">
        <f aca="false">$E$153+$E$133+(D166-$D$153)*$E$134+11</f>
        <v>37.6956</v>
      </c>
      <c r="F166" s="77" t="n">
        <f aca="false">F148</f>
        <v>-60</v>
      </c>
      <c r="G166" s="81" t="n">
        <f aca="false">E166</f>
        <v>37.6956</v>
      </c>
    </row>
    <row r="167" customFormat="false" ht="15" hidden="false" customHeight="false" outlineLevel="0" collapsed="false">
      <c r="A167" s="56"/>
      <c r="B167" s="75" t="s">
        <v>256</v>
      </c>
      <c r="C167" s="58" t="n">
        <f aca="false">C38+$C$133</f>
        <v>10.5288260469867</v>
      </c>
      <c r="D167" s="79" t="n">
        <f aca="false">$D$153+(-77*$D$134)+$D$133</f>
        <v>-25.99</v>
      </c>
      <c r="E167" s="80" t="n">
        <f aca="false">$E$153+$E$133+(D167-$D$153)*$E$134+11</f>
        <v>37.8122</v>
      </c>
      <c r="F167" s="77" t="n">
        <f aca="false">F149</f>
        <v>-60</v>
      </c>
      <c r="G167" s="81" t="n">
        <f aca="false">E167</f>
        <v>37.8122</v>
      </c>
    </row>
    <row r="168" customFormat="false" ht="15" hidden="false" customHeight="false" outlineLevel="0" collapsed="false">
      <c r="A168" s="56"/>
      <c r="B168" s="75" t="s">
        <v>62</v>
      </c>
      <c r="C168" s="58" t="n">
        <f aca="false">C39+$C$133</f>
        <v>10.5383</v>
      </c>
      <c r="D168" s="79" t="n">
        <f aca="false">$D$153+(-88*$D$134)+$D$133</f>
        <v>-36.99</v>
      </c>
      <c r="E168" s="80" t="n">
        <f aca="false">$E$153+$E$133+(D168-$D$153)*$E$134+11</f>
        <v>37.9288</v>
      </c>
      <c r="F168" s="77" t="n">
        <f aca="false">F150</f>
        <v>-60</v>
      </c>
      <c r="G168" s="81" t="n">
        <f aca="false">E168</f>
        <v>37.9288</v>
      </c>
    </row>
    <row r="169" customFormat="false" ht="15" hidden="false" customHeight="false" outlineLevel="0" collapsed="false">
      <c r="A169" s="65"/>
      <c r="B169" s="82" t="s">
        <v>257</v>
      </c>
      <c r="C169" s="58" t="n">
        <f aca="false">C40+$C$133</f>
        <v>11.3909615926389</v>
      </c>
      <c r="D169" s="68" t="n">
        <f aca="false">7+$D$133</f>
        <v>7</v>
      </c>
      <c r="E169" s="69" t="n">
        <f aca="false">1.37+$E$133</f>
        <v>1.37</v>
      </c>
      <c r="F169" s="83" t="n">
        <v>7</v>
      </c>
      <c r="G169" s="84" t="n">
        <f aca="false">E169</f>
        <v>1.37</v>
      </c>
    </row>
    <row r="170" customFormat="false" ht="15" hidden="false" customHeight="false" outlineLevel="0" collapsed="false">
      <c r="A170" s="65"/>
      <c r="B170" s="85" t="s">
        <v>258</v>
      </c>
      <c r="C170" s="86"/>
      <c r="D170" s="87"/>
      <c r="E170" s="87"/>
      <c r="F170" s="86"/>
      <c r="G170" s="88"/>
    </row>
    <row r="171" customFormat="false" ht="15" hidden="false" customHeight="false" outlineLevel="0" collapsed="false">
      <c r="A171" s="56" t="s">
        <v>150</v>
      </c>
      <c r="B171" s="89" t="s">
        <v>259</v>
      </c>
      <c r="C171" s="58" t="n">
        <f aca="false">C42+$C$133</f>
        <v>10.8383</v>
      </c>
      <c r="D171" s="59" t="n">
        <f aca="false">51.34+$D$133</f>
        <v>51.34</v>
      </c>
      <c r="E171" s="60" t="n">
        <f aca="false">54.592+$E$133</f>
        <v>54.592</v>
      </c>
      <c r="F171" s="91" t="n">
        <f aca="false">F135</f>
        <v>70</v>
      </c>
      <c r="G171" s="92" t="n">
        <f aca="false">E171</f>
        <v>54.592</v>
      </c>
    </row>
    <row r="172" customFormat="false" ht="15" hidden="false" customHeight="false" outlineLevel="0" collapsed="false">
      <c r="A172" s="56"/>
      <c r="B172" s="89" t="s">
        <v>84</v>
      </c>
      <c r="C172" s="58" t="n">
        <f aca="false">C43+$C$133</f>
        <v>10.8467377127298</v>
      </c>
      <c r="D172" s="93" t="n">
        <f aca="false">$D$171+(-11*$D$134)+$D$133</f>
        <v>40.34</v>
      </c>
      <c r="E172" s="94" t="n">
        <f aca="false">$E$171+$E$133+(D172-$D$171)*$E$134</f>
        <v>54.7086</v>
      </c>
      <c r="F172" s="91" t="n">
        <f aca="false">F136</f>
        <v>70</v>
      </c>
      <c r="G172" s="95" t="n">
        <f aca="false">E172</f>
        <v>54.7086</v>
      </c>
    </row>
    <row r="173" customFormat="false" ht="15" hidden="false" customHeight="false" outlineLevel="0" collapsed="false">
      <c r="A173" s="56"/>
      <c r="B173" s="89" t="s">
        <v>85</v>
      </c>
      <c r="C173" s="58" t="n">
        <f aca="false">C44+$C$133</f>
        <v>10.8549853868845</v>
      </c>
      <c r="D173" s="93" t="n">
        <f aca="false">$D$171+(-22*$D$134)+$D$133</f>
        <v>29.34</v>
      </c>
      <c r="E173" s="94" t="n">
        <f aca="false">$E$171+$E$133+(D173-$D$171)*$E$134</f>
        <v>54.8252</v>
      </c>
      <c r="F173" s="91" t="n">
        <f aca="false">F137</f>
        <v>70</v>
      </c>
      <c r="G173" s="95" t="n">
        <f aca="false">E173</f>
        <v>54.8252</v>
      </c>
    </row>
    <row r="174" customFormat="false" ht="15" hidden="false" customHeight="false" outlineLevel="0" collapsed="false">
      <c r="A174" s="56"/>
      <c r="B174" s="89" t="s">
        <v>86</v>
      </c>
      <c r="C174" s="58" t="n">
        <f aca="false">C45+$C$133</f>
        <v>10.8676723621511</v>
      </c>
      <c r="D174" s="93" t="n">
        <f aca="false">$D$171+(-38.5*$D$134)+$D$133</f>
        <v>12.84</v>
      </c>
      <c r="E174" s="94" t="n">
        <f aca="false">$E$171+$E$133+(D174-$D$171)*$E$134</f>
        <v>55.0001</v>
      </c>
      <c r="F174" s="91" t="n">
        <f aca="false">F138</f>
        <v>70</v>
      </c>
      <c r="G174" s="95" t="n">
        <f aca="false">E174</f>
        <v>55.0001</v>
      </c>
    </row>
    <row r="175" customFormat="false" ht="15" hidden="false" customHeight="false" outlineLevel="0" collapsed="false">
      <c r="A175" s="56"/>
      <c r="B175" s="89" t="s">
        <v>87</v>
      </c>
      <c r="C175" s="58" t="n">
        <f aca="false">C46+$C$133</f>
        <v>10.8759656455639</v>
      </c>
      <c r="D175" s="93" t="n">
        <f aca="false">$D$171+(-49.5*$D$134)+$D$133</f>
        <v>1.84</v>
      </c>
      <c r="E175" s="94" t="n">
        <f aca="false">$E$171+$E$133+(D175-$D$171)*$E$134</f>
        <v>55.1167</v>
      </c>
      <c r="F175" s="91" t="n">
        <f aca="false">F139</f>
        <v>-60</v>
      </c>
      <c r="G175" s="95" t="n">
        <f aca="false">E175</f>
        <v>55.1167</v>
      </c>
    </row>
    <row r="176" customFormat="false" ht="15" hidden="false" customHeight="false" outlineLevel="0" collapsed="false">
      <c r="A176" s="56"/>
      <c r="B176" s="89" t="s">
        <v>88</v>
      </c>
      <c r="C176" s="58" t="n">
        <f aca="false">C47+$C$133</f>
        <v>10.8885309961425</v>
      </c>
      <c r="D176" s="93" t="n">
        <f aca="false">$D$171+(-66*$D$134)+$D$133</f>
        <v>-14.66</v>
      </c>
      <c r="E176" s="94" t="n">
        <f aca="false">$E$171+$E$133+(D176-$D$171)*$E$134</f>
        <v>55.2916</v>
      </c>
      <c r="F176" s="91" t="n">
        <f aca="false">F140</f>
        <v>-60</v>
      </c>
      <c r="G176" s="95" t="n">
        <f aca="false">E176</f>
        <v>55.2916</v>
      </c>
    </row>
    <row r="177" customFormat="false" ht="15" hidden="false" customHeight="false" outlineLevel="0" collapsed="false">
      <c r="A177" s="56"/>
      <c r="B177" s="89" t="s">
        <v>89</v>
      </c>
      <c r="C177" s="58" t="n">
        <f aca="false">C48+$C$133</f>
        <v>10.8969383027003</v>
      </c>
      <c r="D177" s="93" t="n">
        <f aca="false">$D$171+(-77*$D$134)+$D$133</f>
        <v>-25.66</v>
      </c>
      <c r="E177" s="94" t="n">
        <f aca="false">$E$171+$E$133+(D177-$D$171)*$E$134</f>
        <v>55.4082</v>
      </c>
      <c r="F177" s="91" t="n">
        <f aca="false">F141</f>
        <v>-60</v>
      </c>
      <c r="G177" s="95" t="n">
        <f aca="false">E177</f>
        <v>55.4082</v>
      </c>
    </row>
    <row r="178" customFormat="false" ht="15" hidden="false" customHeight="false" outlineLevel="0" collapsed="false">
      <c r="A178" s="56"/>
      <c r="B178" s="89" t="s">
        <v>90</v>
      </c>
      <c r="C178" s="58" t="n">
        <f aca="false">C49+$C$133</f>
        <v>10.9053</v>
      </c>
      <c r="D178" s="93" t="n">
        <f aca="false">$D$171+(-88*$D$134)+$D$133</f>
        <v>-36.66</v>
      </c>
      <c r="E178" s="94" t="n">
        <f aca="false">$E$171+$E$133+(D178-$D$171)*$E$134</f>
        <v>55.5248</v>
      </c>
      <c r="F178" s="91" t="n">
        <f aca="false">F142</f>
        <v>-60</v>
      </c>
      <c r="G178" s="95" t="n">
        <f aca="false">E178</f>
        <v>55.5248</v>
      </c>
    </row>
    <row r="179" customFormat="false" ht="15" hidden="false" customHeight="false" outlineLevel="0" collapsed="false">
      <c r="A179" s="56"/>
      <c r="B179" s="89" t="s">
        <v>260</v>
      </c>
      <c r="C179" s="58" t="n">
        <f aca="false">C50+$C$133</f>
        <v>10.8383</v>
      </c>
      <c r="D179" s="93" t="n">
        <f aca="false">$D$171+(0*$D$134)+$D$133</f>
        <v>51.34</v>
      </c>
      <c r="E179" s="94" t="n">
        <f aca="false">$E$171+$E$133+(D179-$D$171)*$E$134+11</f>
        <v>65.592</v>
      </c>
      <c r="F179" s="91" t="n">
        <f aca="false">F143</f>
        <v>70</v>
      </c>
      <c r="G179" s="95" t="n">
        <f aca="false">E179</f>
        <v>65.592</v>
      </c>
    </row>
    <row r="180" customFormat="false" ht="15" hidden="false" customHeight="false" outlineLevel="0" collapsed="false">
      <c r="A180" s="56"/>
      <c r="B180" s="89" t="s">
        <v>91</v>
      </c>
      <c r="C180" s="58" t="n">
        <f aca="false">C51+$C$133</f>
        <v>10.8569628104798</v>
      </c>
      <c r="D180" s="93" t="n">
        <f aca="false">$D$171+(-11*$D$134)+$D$133</f>
        <v>40.34</v>
      </c>
      <c r="E180" s="94" t="n">
        <f aca="false">$E$171+$E$133+(D180-$D$171)*$E$134+11</f>
        <v>65.7086</v>
      </c>
      <c r="F180" s="91" t="n">
        <f aca="false">F144</f>
        <v>70</v>
      </c>
      <c r="G180" s="95" t="n">
        <f aca="false">E180</f>
        <v>65.7086</v>
      </c>
    </row>
    <row r="181" customFormat="false" ht="15" hidden="false" customHeight="false" outlineLevel="0" collapsed="false">
      <c r="A181" s="56"/>
      <c r="B181" s="89" t="s">
        <v>92</v>
      </c>
      <c r="C181" s="58" t="n">
        <f aca="false">C52+$C$133</f>
        <v>10.8758808097993</v>
      </c>
      <c r="D181" s="93" t="n">
        <f aca="false">$D$171+(-22*$D$134)+$D$133</f>
        <v>29.34</v>
      </c>
      <c r="E181" s="94" t="n">
        <f aca="false">$E$171+$E$133+(D181-$D$171)*$E$134+11</f>
        <v>65.8252</v>
      </c>
      <c r="F181" s="91" t="n">
        <f aca="false">F145</f>
        <v>70</v>
      </c>
      <c r="G181" s="95" t="n">
        <f aca="false">E181</f>
        <v>65.8252</v>
      </c>
    </row>
    <row r="182" customFormat="false" ht="15" hidden="false" customHeight="false" outlineLevel="0" collapsed="false">
      <c r="A182" s="56"/>
      <c r="B182" s="89" t="s">
        <v>93</v>
      </c>
      <c r="C182" s="58" t="n">
        <f aca="false">C53+$C$133</f>
        <v>10.894594658047</v>
      </c>
      <c r="D182" s="93" t="n">
        <f aca="false">$D$171+(-33*$D$134)+$D$133</f>
        <v>18.34</v>
      </c>
      <c r="E182" s="94" t="n">
        <f aca="false">$E$171+$E$133+(D182-$D$171)*$E$134+11</f>
        <v>65.9418</v>
      </c>
      <c r="F182" s="91" t="n">
        <f aca="false">F146</f>
        <v>70</v>
      </c>
      <c r="G182" s="95" t="n">
        <f aca="false">E182</f>
        <v>65.9418</v>
      </c>
    </row>
    <row r="183" customFormat="false" ht="15" hidden="false" customHeight="false" outlineLevel="0" collapsed="false">
      <c r="A183" s="56"/>
      <c r="B183" s="89" t="s">
        <v>96</v>
      </c>
      <c r="C183" s="58" t="n">
        <f aca="false">C54+$C$133</f>
        <v>10.9319543041851</v>
      </c>
      <c r="D183" s="93" t="n">
        <f aca="false">$D$171+(-55*$D$134)+$D$133</f>
        <v>-3.66</v>
      </c>
      <c r="E183" s="94" t="n">
        <f aca="false">$E$171+$E$133+(D183-$D$171)*$E$134+11</f>
        <v>66.175</v>
      </c>
      <c r="F183" s="91" t="n">
        <f aca="false">F147</f>
        <v>-60</v>
      </c>
      <c r="G183" s="95" t="n">
        <f aca="false">E183</f>
        <v>66.175</v>
      </c>
    </row>
    <row r="184" customFormat="false" ht="15" hidden="false" customHeight="false" outlineLevel="0" collapsed="false">
      <c r="A184" s="56"/>
      <c r="B184" s="89" t="s">
        <v>98</v>
      </c>
      <c r="C184" s="58" t="n">
        <f aca="false">C55+$C$133</f>
        <v>10.9507191902007</v>
      </c>
      <c r="D184" s="93" t="n">
        <f aca="false">$D$171+(-66*$D$134)+$D$133</f>
        <v>-14.66</v>
      </c>
      <c r="E184" s="94" t="n">
        <f aca="false">$E$171+$E$133+(D184-$D$171)*$E$134+11</f>
        <v>66.2916</v>
      </c>
      <c r="F184" s="91" t="n">
        <f aca="false">F148</f>
        <v>-60</v>
      </c>
      <c r="G184" s="95" t="n">
        <f aca="false">E184</f>
        <v>66.2916</v>
      </c>
    </row>
    <row r="185" customFormat="false" ht="15" hidden="false" customHeight="false" outlineLevel="0" collapsed="false">
      <c r="A185" s="56"/>
      <c r="B185" s="89" t="s">
        <v>261</v>
      </c>
      <c r="C185" s="58" t="n">
        <f aca="false">C56+$C$133</f>
        <v>10.9693820006805</v>
      </c>
      <c r="D185" s="93" t="n">
        <f aca="false">$D$171+(-77*$D$134)+$D$133</f>
        <v>-25.66</v>
      </c>
      <c r="E185" s="94" t="n">
        <f aca="false">$E$171+$E$133+(D185-$D$171)*$E$134+11</f>
        <v>66.4082</v>
      </c>
      <c r="F185" s="91" t="n">
        <f aca="false">F149</f>
        <v>-60</v>
      </c>
      <c r="G185" s="95" t="n">
        <f aca="false">E185</f>
        <v>66.4082</v>
      </c>
    </row>
    <row r="186" customFormat="false" ht="15" hidden="false" customHeight="false" outlineLevel="0" collapsed="false">
      <c r="A186" s="56"/>
      <c r="B186" s="89" t="s">
        <v>82</v>
      </c>
      <c r="C186" s="58" t="n">
        <f aca="false">C57+$C$133</f>
        <v>10.9883</v>
      </c>
      <c r="D186" s="93" t="n">
        <f aca="false">$D$171+(-88*$D$134)+$D$133</f>
        <v>-36.66</v>
      </c>
      <c r="E186" s="94" t="n">
        <f aca="false">$E$171+$E$133+(D186-$D$171)*$E$134+11</f>
        <v>66.5248</v>
      </c>
      <c r="F186" s="91" t="n">
        <f aca="false">F150</f>
        <v>-60</v>
      </c>
      <c r="G186" s="95" t="n">
        <f aca="false">E186</f>
        <v>66.5248</v>
      </c>
    </row>
    <row r="187" customFormat="false" ht="15" hidden="false" customHeight="false" outlineLevel="0" collapsed="false">
      <c r="A187" s="65"/>
      <c r="B187" s="96" t="s">
        <v>262</v>
      </c>
      <c r="C187" s="58" t="n">
        <f aca="false">C58+$C$133</f>
        <v>11.872993442251</v>
      </c>
      <c r="D187" s="68" t="n">
        <v>13.57</v>
      </c>
      <c r="E187" s="69" t="n">
        <v>59.5</v>
      </c>
      <c r="F187" s="97" t="n">
        <f aca="false">D187</f>
        <v>13.57</v>
      </c>
      <c r="G187" s="98" t="n">
        <f aca="false">E187-2</f>
        <v>57.5</v>
      </c>
    </row>
    <row r="188" customFormat="false" ht="15" hidden="false" customHeight="false" outlineLevel="0" collapsed="false">
      <c r="A188" s="65"/>
      <c r="B188" s="99" t="s">
        <v>263</v>
      </c>
      <c r="C188" s="58" t="n">
        <f aca="false">C59+$C$133</f>
        <v>9.46</v>
      </c>
      <c r="D188" s="101" t="n">
        <f aca="false">6+$D$133</f>
        <v>6</v>
      </c>
      <c r="E188" s="101" t="n">
        <f aca="false">17+$D$133</f>
        <v>17</v>
      </c>
      <c r="F188" s="100" t="n">
        <v>3</v>
      </c>
      <c r="G188" s="102" t="n">
        <f aca="false">E188</f>
        <v>17</v>
      </c>
    </row>
    <row r="189" customFormat="false" ht="15" hidden="false" customHeight="false" outlineLevel="0" collapsed="false">
      <c r="A189" s="65"/>
      <c r="B189" s="89" t="s">
        <v>264</v>
      </c>
      <c r="C189" s="58" t="n">
        <f aca="false">C60+$C$133</f>
        <v>10.9883</v>
      </c>
      <c r="D189" s="93" t="n">
        <v>0</v>
      </c>
      <c r="E189" s="94" t="n">
        <v>0</v>
      </c>
      <c r="F189" s="91" t="n">
        <v>0</v>
      </c>
      <c r="G189" s="95" t="n">
        <f aca="false">E189</f>
        <v>0</v>
      </c>
    </row>
    <row r="190" customFormat="false" ht="15" hidden="false" customHeight="false" outlineLevel="0" collapsed="false">
      <c r="A190" s="65"/>
      <c r="B190" s="89"/>
      <c r="C190" s="90"/>
      <c r="D190" s="93"/>
      <c r="E190" s="93"/>
      <c r="F190" s="90"/>
      <c r="G190" s="121"/>
    </row>
    <row r="191" customFormat="false" ht="15" hidden="false" customHeight="false" outlineLevel="0" collapsed="false">
      <c r="D191" s="107" t="s">
        <v>170</v>
      </c>
      <c r="E191" s="107"/>
      <c r="F191" s="107"/>
      <c r="G191" s="107"/>
    </row>
    <row r="192" customFormat="false" ht="15" hidden="false" customHeight="false" outlineLevel="0" collapsed="false">
      <c r="B192" s="89" t="s">
        <v>265</v>
      </c>
      <c r="C192" s="48" t="n">
        <f aca="false">C175-15.5</f>
        <v>-4.6240343544361</v>
      </c>
      <c r="D192" s="107" t="n">
        <v>1.5</v>
      </c>
      <c r="E192" s="107" t="n">
        <v>26.12</v>
      </c>
      <c r="F192" s="107" t="n">
        <f aca="false">D192</f>
        <v>1.5</v>
      </c>
      <c r="G192" s="107" t="n">
        <f aca="false">E192-5</f>
        <v>21.12</v>
      </c>
    </row>
    <row r="193" customFormat="false" ht="15" hidden="false" customHeight="false" outlineLevel="0" collapsed="false">
      <c r="B193" s="89" t="s">
        <v>266</v>
      </c>
      <c r="C193" s="90" t="n">
        <v>16.5283</v>
      </c>
      <c r="D193" s="48" t="n">
        <v>0</v>
      </c>
      <c r="E193" s="48" t="n">
        <f aca="false">E788</f>
        <v>0</v>
      </c>
      <c r="F193" s="48" t="n">
        <f aca="false">F788</f>
        <v>0</v>
      </c>
      <c r="G193" s="48" t="n">
        <f aca="false">G788</f>
        <v>0</v>
      </c>
    </row>
    <row r="194" customFormat="false" ht="15" hidden="false" customHeight="false" outlineLevel="0" collapsed="false">
      <c r="C194" s="107"/>
      <c r="D194" s="107"/>
      <c r="E194" s="107"/>
      <c r="F194" s="108"/>
      <c r="G194" s="108"/>
    </row>
    <row r="195" customFormat="false" ht="15" hidden="false" customHeight="false" outlineLevel="0" collapsed="false">
      <c r="C195" s="109" t="s">
        <v>172</v>
      </c>
      <c r="D195" s="110" t="s">
        <v>173</v>
      </c>
      <c r="E195" s="110" t="s">
        <v>174</v>
      </c>
      <c r="F195" s="109" t="s">
        <v>175</v>
      </c>
      <c r="G195" s="109" t="s">
        <v>176</v>
      </c>
    </row>
    <row r="196" customFormat="false" ht="15" hidden="false" customHeight="false" outlineLevel="0" collapsed="false">
      <c r="A196" s="51" t="s">
        <v>108</v>
      </c>
      <c r="B196" s="120"/>
      <c r="C196" s="120" t="n">
        <f aca="false">C133</f>
        <v>-5.54</v>
      </c>
      <c r="D196" s="52" t="n">
        <v>0</v>
      </c>
      <c r="E196" s="53" t="n">
        <v>0</v>
      </c>
      <c r="F196" s="120" t="s">
        <v>109</v>
      </c>
      <c r="G196" s="52" t="s">
        <v>110</v>
      </c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</row>
    <row r="197" customFormat="false" ht="15" hidden="false" customHeight="false" outlineLevel="0" collapsed="false">
      <c r="A197" s="54" t="s">
        <v>111</v>
      </c>
      <c r="C197" s="48" t="n">
        <v>0</v>
      </c>
      <c r="D197" s="55" t="n">
        <v>1</v>
      </c>
      <c r="E197" s="55" t="n">
        <v>-0.0106</v>
      </c>
      <c r="F197" s="55"/>
      <c r="G197" s="55"/>
    </row>
    <row r="198" customFormat="false" ht="15" hidden="false" customHeight="false" outlineLevel="0" collapsed="false">
      <c r="A198" s="56" t="s">
        <v>112</v>
      </c>
      <c r="B198" s="57" t="s">
        <v>267</v>
      </c>
      <c r="C198" s="58" t="n">
        <f aca="false">C69+$C$196</f>
        <v>10.3883</v>
      </c>
      <c r="D198" s="59" t="n">
        <f aca="false">57.8+$D$67</f>
        <v>57.8</v>
      </c>
      <c r="E198" s="60" t="n">
        <f aca="false">-0.75+$E$67</f>
        <v>-0.75</v>
      </c>
      <c r="F198" s="61" t="n">
        <v>70</v>
      </c>
      <c r="G198" s="62" t="n">
        <f aca="false">E198</f>
        <v>-0.75</v>
      </c>
    </row>
    <row r="199" customFormat="false" ht="15" hidden="false" customHeight="false" outlineLevel="0" collapsed="false">
      <c r="A199" s="56"/>
      <c r="B199" s="57" t="s">
        <v>268</v>
      </c>
      <c r="C199" s="58" t="n">
        <f aca="false">C70+$C$196</f>
        <v>10.397705922</v>
      </c>
      <c r="D199" s="63" t="n">
        <f aca="false">$D$69+(-11*$D$68)+$D$67</f>
        <v>46.8</v>
      </c>
      <c r="E199" s="64" t="n">
        <f aca="false">$E$69+$E$67+(D199-$D$69)*$E$68</f>
        <v>-0.6334</v>
      </c>
      <c r="F199" s="58" t="n">
        <f aca="false">F198</f>
        <v>70</v>
      </c>
      <c r="G199" s="62" t="n">
        <f aca="false">E199</f>
        <v>-0.6334</v>
      </c>
    </row>
    <row r="200" customFormat="false" ht="15" hidden="false" customHeight="false" outlineLevel="0" collapsed="false">
      <c r="A200" s="56"/>
      <c r="B200" s="57" t="s">
        <v>269</v>
      </c>
      <c r="C200" s="58" t="n">
        <f aca="false">C71+$C$196</f>
        <v>10.397650568</v>
      </c>
      <c r="D200" s="63" t="n">
        <f aca="false">$D$69+(-22*$D$68)+$D$67</f>
        <v>35.8</v>
      </c>
      <c r="E200" s="64" t="n">
        <f aca="false">$E$69+$E$67+(D200-$D$69)*$E$68</f>
        <v>-0.5168</v>
      </c>
      <c r="F200" s="58" t="n">
        <f aca="false">F199</f>
        <v>70</v>
      </c>
      <c r="G200" s="62" t="n">
        <f aca="false">E200</f>
        <v>-0.5168</v>
      </c>
    </row>
    <row r="201" customFormat="false" ht="15" hidden="false" customHeight="false" outlineLevel="0" collapsed="false">
      <c r="A201" s="56"/>
      <c r="B201" s="57" t="s">
        <v>270</v>
      </c>
      <c r="C201" s="58" t="n">
        <f aca="false">C72+$C$196</f>
        <v>10.4023922768</v>
      </c>
      <c r="D201" s="63" t="n">
        <f aca="false">$D$69+(-38.5*$D$68)+$D$67</f>
        <v>19.3</v>
      </c>
      <c r="E201" s="64" t="n">
        <f aca="false">$E$69+$E$67+(D201-$D$69)*$E$68</f>
        <v>-0.3419</v>
      </c>
      <c r="F201" s="58" t="n">
        <f aca="false">F200</f>
        <v>70</v>
      </c>
      <c r="G201" s="62" t="n">
        <f aca="false">E201</f>
        <v>-0.3419</v>
      </c>
    </row>
    <row r="202" customFormat="false" ht="15" hidden="false" customHeight="false" outlineLevel="0" collapsed="false">
      <c r="A202" s="56"/>
      <c r="B202" s="57" t="s">
        <v>271</v>
      </c>
      <c r="C202" s="58" t="n">
        <f aca="false">C73+$C$196</f>
        <v>10.3976820772</v>
      </c>
      <c r="D202" s="63" t="n">
        <f aca="false">$D$69+(-49.5*$D$68)+$D$67</f>
        <v>8.3</v>
      </c>
      <c r="E202" s="64" t="n">
        <f aca="false">$E$69+$E$67+(D202-$D$69)*$E$68</f>
        <v>-0.2253</v>
      </c>
      <c r="F202" s="61" t="n">
        <v>-60</v>
      </c>
      <c r="G202" s="62" t="n">
        <f aca="false">E202</f>
        <v>-0.2253</v>
      </c>
    </row>
    <row r="203" customFormat="false" ht="15" hidden="false" customHeight="false" outlineLevel="0" collapsed="false">
      <c r="A203" s="56"/>
      <c r="B203" s="57" t="s">
        <v>272</v>
      </c>
      <c r="C203" s="58" t="n">
        <f aca="false">C74+$C$196</f>
        <v>10.402325852</v>
      </c>
      <c r="D203" s="63" t="n">
        <f aca="false">$D$69+(-66*$D$68)+$D$67</f>
        <v>-8.2</v>
      </c>
      <c r="E203" s="64" t="n">
        <f aca="false">$E$69+$E$67+(D203-$D$69)*$E$68</f>
        <v>-0.0504</v>
      </c>
      <c r="F203" s="58" t="n">
        <v>-60</v>
      </c>
      <c r="G203" s="62" t="n">
        <f aca="false">E203</f>
        <v>-0.0504</v>
      </c>
    </row>
    <row r="204" customFormat="false" ht="15" hidden="false" customHeight="false" outlineLevel="0" collapsed="false">
      <c r="A204" s="56"/>
      <c r="B204" s="57" t="s">
        <v>273</v>
      </c>
      <c r="C204" s="58" t="n">
        <f aca="false">C75+$C$196</f>
        <v>10.3976914448</v>
      </c>
      <c r="D204" s="63" t="n">
        <f aca="false">$D$69+(-77*$D$68)+$D$67</f>
        <v>-19.2</v>
      </c>
      <c r="E204" s="64" t="n">
        <f aca="false">$E$69+$E$67+(D204-$D$69)*$E$68</f>
        <v>0.0662</v>
      </c>
      <c r="F204" s="58" t="n">
        <v>-60</v>
      </c>
      <c r="G204" s="62" t="n">
        <f aca="false">E204</f>
        <v>0.0662</v>
      </c>
    </row>
    <row r="205" customFormat="false" ht="15" hidden="false" customHeight="false" outlineLevel="0" collapsed="false">
      <c r="A205" s="56"/>
      <c r="B205" s="57" t="s">
        <v>274</v>
      </c>
      <c r="C205" s="58" t="n">
        <f aca="false">C76+$C$196</f>
        <v>10.3976522712</v>
      </c>
      <c r="D205" s="63" t="n">
        <f aca="false">$D$69+(-88*$D$68)+$D$67</f>
        <v>-30.2</v>
      </c>
      <c r="E205" s="64" t="n">
        <f aca="false">$E$69+$E$67+(D205-$D$69)*$E$68</f>
        <v>0.1828</v>
      </c>
      <c r="F205" s="58" t="n">
        <v>-60</v>
      </c>
      <c r="G205" s="62" t="n">
        <f aca="false">E205</f>
        <v>0.1828</v>
      </c>
    </row>
    <row r="206" customFormat="false" ht="15" hidden="false" customHeight="false" outlineLevel="0" collapsed="false">
      <c r="A206" s="56"/>
      <c r="B206" s="57" t="s">
        <v>275</v>
      </c>
      <c r="C206" s="58" t="n">
        <f aca="false">C77+$C$196</f>
        <v>10.5383</v>
      </c>
      <c r="D206" s="63" t="n">
        <f aca="false">$D$69+(0*$D$68)+$D$67</f>
        <v>57.8</v>
      </c>
      <c r="E206" s="64" t="n">
        <f aca="false">$E$69+$E$67+(D206-$D$69)*$E$68+11</f>
        <v>10.25</v>
      </c>
      <c r="F206" s="61" t="n">
        <f aca="false">F198</f>
        <v>70</v>
      </c>
      <c r="G206" s="62" t="n">
        <f aca="false">E206</f>
        <v>10.25</v>
      </c>
    </row>
    <row r="207" customFormat="false" ht="15" hidden="false" customHeight="false" outlineLevel="0" collapsed="false">
      <c r="A207" s="56"/>
      <c r="B207" s="57" t="s">
        <v>276</v>
      </c>
      <c r="C207" s="58" t="n">
        <f aca="false">C78+$C$196</f>
        <v>10.5574655336506</v>
      </c>
      <c r="D207" s="63" t="n">
        <f aca="false">$D$69+(-11*$D$68)+$D$67</f>
        <v>46.8</v>
      </c>
      <c r="E207" s="64" t="n">
        <f aca="false">$E$69+$E$67+(D207-$D$69)*$E$68+11</f>
        <v>10.3666</v>
      </c>
      <c r="F207" s="58" t="n">
        <f aca="false">F206</f>
        <v>70</v>
      </c>
      <c r="G207" s="62" t="n">
        <f aca="false">E207</f>
        <v>10.3666</v>
      </c>
    </row>
    <row r="208" customFormat="false" ht="15" hidden="false" customHeight="false" outlineLevel="0" collapsed="false">
      <c r="A208" s="56"/>
      <c r="B208" s="57" t="s">
        <v>277</v>
      </c>
      <c r="C208" s="58" t="n">
        <f aca="false">C79+$C$196</f>
        <v>10.576131407206</v>
      </c>
      <c r="D208" s="63" t="n">
        <f aca="false">$D$69+(-22*$D$68)+$D$67</f>
        <v>35.8</v>
      </c>
      <c r="E208" s="64" t="n">
        <f aca="false">$E$69+$E$67+(D208-$D$69)*$E$68+11</f>
        <v>10.4832</v>
      </c>
      <c r="F208" s="58" t="n">
        <f aca="false">F207</f>
        <v>70</v>
      </c>
      <c r="G208" s="62" t="n">
        <f aca="false">E208</f>
        <v>10.4832</v>
      </c>
    </row>
    <row r="209" customFormat="false" ht="15" hidden="false" customHeight="false" outlineLevel="0" collapsed="false">
      <c r="A209" s="56"/>
      <c r="B209" s="57" t="s">
        <v>278</v>
      </c>
      <c r="C209" s="58" t="n">
        <f aca="false">C80+$C$196</f>
        <v>10.5948142760027</v>
      </c>
      <c r="D209" s="63" t="n">
        <f aca="false">$D$69+(-33*$D$68)+$D$67</f>
        <v>24.8</v>
      </c>
      <c r="E209" s="64" t="n">
        <f aca="false">$E$69+$E$67+(D209-$D$69)*$E$68+11</f>
        <v>10.5998</v>
      </c>
      <c r="F209" s="58" t="n">
        <f aca="false">F208</f>
        <v>70</v>
      </c>
      <c r="G209" s="62" t="n">
        <f aca="false">E209</f>
        <v>10.5998</v>
      </c>
    </row>
    <row r="210" customFormat="false" ht="15" hidden="false" customHeight="false" outlineLevel="0" collapsed="false">
      <c r="A210" s="56"/>
      <c r="B210" s="57" t="s">
        <v>279</v>
      </c>
      <c r="C210" s="58" t="n">
        <f aca="false">C81+$C$196</f>
        <v>10.6322004078858</v>
      </c>
      <c r="D210" s="63" t="n">
        <f aca="false">$D$69+(-55*$D$68)+$D$67</f>
        <v>2.8</v>
      </c>
      <c r="E210" s="64" t="n">
        <f aca="false">$E$69+$E$67+(D210-$D$69)*$E$68+11</f>
        <v>10.833</v>
      </c>
      <c r="F210" s="61" t="n">
        <v>-60</v>
      </c>
      <c r="G210" s="62" t="n">
        <f aca="false">E210</f>
        <v>10.833</v>
      </c>
    </row>
    <row r="211" customFormat="false" ht="15" hidden="false" customHeight="false" outlineLevel="0" collapsed="false">
      <c r="A211" s="56"/>
      <c r="B211" s="57" t="s">
        <v>280</v>
      </c>
      <c r="C211" s="58" t="n">
        <f aca="false">C82+$C$196</f>
        <v>10.6509325628824</v>
      </c>
      <c r="D211" s="63" t="n">
        <f aca="false">$D$69+(-66*$D$68)+$D$67</f>
        <v>-8.2</v>
      </c>
      <c r="E211" s="64" t="n">
        <f aca="false">$E$69+$E$67+(D211-$D$69)*$E$68+11</f>
        <v>10.9496</v>
      </c>
      <c r="F211" s="58" t="n">
        <v>-60</v>
      </c>
      <c r="G211" s="62" t="n">
        <f aca="false">E211</f>
        <v>10.9496</v>
      </c>
    </row>
    <row r="212" customFormat="false" ht="15" hidden="false" customHeight="false" outlineLevel="0" collapsed="false">
      <c r="A212" s="56"/>
      <c r="B212" s="57" t="s">
        <v>281</v>
      </c>
      <c r="C212" s="58" t="n">
        <f aca="false">C83+$C$196</f>
        <v>10.6697445955133</v>
      </c>
      <c r="D212" s="63" t="n">
        <f aca="false">$D$69+(-77*$D$68)+$D$67</f>
        <v>-19.2</v>
      </c>
      <c r="E212" s="64" t="n">
        <f aca="false">$E$69+$E$67+(D212-$D$69)*$E$68+11</f>
        <v>11.0662</v>
      </c>
      <c r="F212" s="58" t="n">
        <v>-60</v>
      </c>
      <c r="G212" s="62" t="n">
        <f aca="false">E212</f>
        <v>11.0662</v>
      </c>
    </row>
    <row r="213" customFormat="false" ht="15" hidden="false" customHeight="false" outlineLevel="0" collapsed="false">
      <c r="A213" s="56"/>
      <c r="B213" s="57" t="s">
        <v>282</v>
      </c>
      <c r="C213" s="58" t="n">
        <f aca="false">C84+$C$196</f>
        <v>10.6883</v>
      </c>
      <c r="D213" s="63" t="n">
        <f aca="false">$D$69+(-88*$D$68)+$D$67</f>
        <v>-30.2</v>
      </c>
      <c r="E213" s="64" t="n">
        <f aca="false">$E$69+$E$67+(D213-$D$69)*$E$68+11</f>
        <v>11.1828</v>
      </c>
      <c r="F213" s="58" t="n">
        <v>-60</v>
      </c>
      <c r="G213" s="62" t="n">
        <f aca="false">E213</f>
        <v>11.1828</v>
      </c>
    </row>
    <row r="214" customFormat="false" ht="15" hidden="false" customHeight="false" outlineLevel="0" collapsed="false">
      <c r="A214" s="65"/>
      <c r="B214" s="66" t="s">
        <v>283</v>
      </c>
      <c r="C214" s="58" t="n">
        <f aca="false">C85+$C$196</f>
        <v>11.3993995022516</v>
      </c>
      <c r="D214" s="68" t="n">
        <f aca="false">7+$D$4</f>
        <v>7</v>
      </c>
      <c r="E214" s="69" t="n">
        <f aca="false">1.37+$E$4</f>
        <v>1.37</v>
      </c>
      <c r="F214" s="67" t="n">
        <v>7</v>
      </c>
      <c r="G214" s="70" t="n">
        <v>2.97</v>
      </c>
    </row>
    <row r="215" customFormat="false" ht="15" hidden="false" customHeight="false" outlineLevel="0" collapsed="false">
      <c r="A215" s="65"/>
      <c r="B215" s="71" t="s">
        <v>284</v>
      </c>
      <c r="C215" s="72"/>
      <c r="D215" s="73"/>
      <c r="E215" s="73"/>
      <c r="F215" s="72"/>
      <c r="G215" s="74"/>
    </row>
    <row r="216" customFormat="false" ht="15" hidden="false" customHeight="false" outlineLevel="0" collapsed="false">
      <c r="A216" s="56" t="s">
        <v>131</v>
      </c>
      <c r="B216" s="75" t="s">
        <v>285</v>
      </c>
      <c r="C216" s="58" t="n">
        <f aca="false">C87+$C$196</f>
        <v>10.3133</v>
      </c>
      <c r="D216" s="59" t="n">
        <f aca="false">58.05+$D$67</f>
        <v>58.05</v>
      </c>
      <c r="E216" s="60" t="n">
        <f aca="false">27.9+$E$67</f>
        <v>27.9</v>
      </c>
      <c r="F216" s="77" t="n">
        <f aca="false">F198</f>
        <v>70</v>
      </c>
      <c r="G216" s="78" t="n">
        <f aca="false">E216</f>
        <v>27.9</v>
      </c>
    </row>
    <row r="217" customFormat="false" ht="15" hidden="false" customHeight="false" outlineLevel="0" collapsed="false">
      <c r="A217" s="56"/>
      <c r="B217" s="75" t="s">
        <v>286</v>
      </c>
      <c r="C217" s="58" t="n">
        <f aca="false">C88+$C$196</f>
        <v>10.3318732136772</v>
      </c>
      <c r="D217" s="79" t="n">
        <f aca="false">$D$87+(-11*$D$68)+$D$67</f>
        <v>47.05</v>
      </c>
      <c r="E217" s="80" t="n">
        <f aca="false">$E$87+$E$67+(D217-$D$87)*$E$68</f>
        <v>28.0166</v>
      </c>
      <c r="F217" s="76" t="n">
        <f aca="false">F216</f>
        <v>70</v>
      </c>
      <c r="G217" s="78" t="n">
        <f aca="false">E217</f>
        <v>28.0166</v>
      </c>
    </row>
    <row r="218" customFormat="false" ht="15" hidden="false" customHeight="false" outlineLevel="0" collapsed="false">
      <c r="A218" s="56"/>
      <c r="B218" s="75" t="s">
        <v>287</v>
      </c>
      <c r="C218" s="58" t="n">
        <f aca="false">C89+$C$196</f>
        <v>10.3506679427468</v>
      </c>
      <c r="D218" s="79" t="n">
        <f aca="false">$D$87+(-22*$D$68)+$D$67</f>
        <v>36.05</v>
      </c>
      <c r="E218" s="80" t="n">
        <f aca="false">$E$87+$E$67+(D218-$D$87)*$E$68</f>
        <v>28.1332</v>
      </c>
      <c r="F218" s="76" t="n">
        <f aca="false">F217</f>
        <v>70</v>
      </c>
      <c r="G218" s="78" t="n">
        <f aca="false">E218</f>
        <v>28.1332</v>
      </c>
    </row>
    <row r="219" customFormat="false" ht="15" hidden="false" customHeight="false" outlineLevel="0" collapsed="false">
      <c r="A219" s="56"/>
      <c r="B219" s="75" t="s">
        <v>288</v>
      </c>
      <c r="C219" s="58" t="n">
        <f aca="false">C90+$C$196</f>
        <v>10.3790338407361</v>
      </c>
      <c r="D219" s="79" t="n">
        <f aca="false">$D$87+(-38.5*$D$68)+$D$67</f>
        <v>19.55</v>
      </c>
      <c r="E219" s="80" t="n">
        <f aca="false">$E$87+$E$67+(D219-$D$87)*$E$68</f>
        <v>28.3081</v>
      </c>
      <c r="F219" s="76" t="n">
        <f aca="false">F218</f>
        <v>70</v>
      </c>
      <c r="G219" s="78" t="n">
        <f aca="false">E219</f>
        <v>28.3081</v>
      </c>
    </row>
    <row r="220" customFormat="false" ht="15" hidden="false" customHeight="false" outlineLevel="0" collapsed="false">
      <c r="A220" s="56"/>
      <c r="B220" s="75" t="s">
        <v>289</v>
      </c>
      <c r="C220" s="58" t="n">
        <f aca="false">C91+$C$196</f>
        <v>10.3976632852437</v>
      </c>
      <c r="D220" s="79" t="n">
        <f aca="false">$D$87+(-49.5*$D$68)+$D$67</f>
        <v>8.55</v>
      </c>
      <c r="E220" s="80" t="n">
        <f aca="false">$E$87+$E$67+(D220-$D$87)*$E$68</f>
        <v>28.4247</v>
      </c>
      <c r="F220" s="77" t="n">
        <v>-60</v>
      </c>
      <c r="G220" s="78" t="n">
        <f aca="false">E220</f>
        <v>28.4247</v>
      </c>
    </row>
    <row r="221" customFormat="false" ht="15" hidden="false" customHeight="false" outlineLevel="0" collapsed="false">
      <c r="A221" s="56"/>
      <c r="B221" s="75" t="s">
        <v>290</v>
      </c>
      <c r="C221" s="58" t="n">
        <f aca="false">C92+$C$196</f>
        <v>10.4257889242304</v>
      </c>
      <c r="D221" s="79" t="n">
        <f aca="false">$D$87+(-66*$D$68)+$D$67</f>
        <v>-7.95</v>
      </c>
      <c r="E221" s="80" t="n">
        <f aca="false">$E$87+$E$67+(D221-$D$87)*$E$68</f>
        <v>28.5996</v>
      </c>
      <c r="F221" s="76" t="n">
        <v>-60</v>
      </c>
      <c r="G221" s="78" t="n">
        <f aca="false">E221</f>
        <v>28.5996</v>
      </c>
    </row>
    <row r="222" customFormat="false" ht="15" hidden="false" customHeight="false" outlineLevel="0" collapsed="false">
      <c r="A222" s="56"/>
      <c r="B222" s="75" t="s">
        <v>291</v>
      </c>
      <c r="C222" s="58" t="n">
        <f aca="false">C93+$C$196</f>
        <v>10.4446296603431</v>
      </c>
      <c r="D222" s="79" t="n">
        <f aca="false">$D$87+(-77*$D$68)+$D$67</f>
        <v>-18.95</v>
      </c>
      <c r="E222" s="80" t="n">
        <f aca="false">$E$87+$E$67+(D222-$D$87)*$E$68</f>
        <v>28.7162</v>
      </c>
      <c r="F222" s="76" t="n">
        <v>-60</v>
      </c>
      <c r="G222" s="78" t="n">
        <f aca="false">E222</f>
        <v>28.7162</v>
      </c>
    </row>
    <row r="223" customFormat="false" ht="15" hidden="false" customHeight="false" outlineLevel="0" collapsed="false">
      <c r="A223" s="56"/>
      <c r="B223" s="75" t="s">
        <v>292</v>
      </c>
      <c r="C223" s="58" t="n">
        <f aca="false">C94+$C$196</f>
        <v>10.4633</v>
      </c>
      <c r="D223" s="79" t="n">
        <f aca="false">$D$87+(-88*$D$68)+$D$67</f>
        <v>-29.95</v>
      </c>
      <c r="E223" s="80" t="n">
        <f aca="false">$E$87+$E$67+(D223-$D$87)*$E$68</f>
        <v>28.8328</v>
      </c>
      <c r="F223" s="76" t="n">
        <v>-60</v>
      </c>
      <c r="G223" s="78" t="n">
        <f aca="false">E223</f>
        <v>28.8328</v>
      </c>
    </row>
    <row r="224" customFormat="false" ht="15" hidden="false" customHeight="false" outlineLevel="0" collapsed="false">
      <c r="A224" s="56"/>
      <c r="B224" s="75" t="s">
        <v>293</v>
      </c>
      <c r="C224" s="58" t="n">
        <f aca="false">C95+$C$196</f>
        <v>10.4633</v>
      </c>
      <c r="D224" s="79" t="n">
        <f aca="false">$D$87+(0*$D$68)+$D$67</f>
        <v>58.05</v>
      </c>
      <c r="E224" s="80" t="n">
        <f aca="false">$E$87+$E$67+(D224-$D$87)*$E$68+11</f>
        <v>38.9</v>
      </c>
      <c r="F224" s="77" t="n">
        <f aca="false">F216</f>
        <v>70</v>
      </c>
      <c r="G224" s="78" t="n">
        <f aca="false">E224</f>
        <v>38.9</v>
      </c>
    </row>
    <row r="225" customFormat="false" ht="15" hidden="false" customHeight="false" outlineLevel="0" collapsed="false">
      <c r="A225" s="56"/>
      <c r="B225" s="75" t="s">
        <v>294</v>
      </c>
      <c r="C225" s="58" t="n">
        <f aca="false">C96+$C$196</f>
        <v>10.4726292475315</v>
      </c>
      <c r="D225" s="79" t="n">
        <f aca="false">$D$87+(-11*$D$68)+$D$67</f>
        <v>47.05</v>
      </c>
      <c r="E225" s="80" t="n">
        <f aca="false">$E$87+$E$67+(D225-$D$87)*$E$68+11</f>
        <v>39.0166</v>
      </c>
      <c r="F225" s="76" t="n">
        <f aca="false">F224</f>
        <v>70</v>
      </c>
      <c r="G225" s="78" t="n">
        <f aca="false">E225</f>
        <v>39.0166</v>
      </c>
    </row>
    <row r="226" customFormat="false" ht="15" hidden="false" customHeight="false" outlineLevel="0" collapsed="false">
      <c r="A226" s="56"/>
      <c r="B226" s="75" t="s">
        <v>295</v>
      </c>
      <c r="C226" s="58" t="n">
        <f aca="false">C97+$C$196</f>
        <v>10.482009567586</v>
      </c>
      <c r="D226" s="79" t="n">
        <f aca="false">$D$87+(-22*$D$68)+$D$67</f>
        <v>36.05</v>
      </c>
      <c r="E226" s="80" t="n">
        <f aca="false">$E$87+$E$67+(D226-$D$87)*$E$68+11</f>
        <v>39.1332</v>
      </c>
      <c r="F226" s="76" t="n">
        <f aca="false">F225</f>
        <v>70</v>
      </c>
      <c r="G226" s="78" t="n">
        <f aca="false">E226</f>
        <v>39.1332</v>
      </c>
    </row>
    <row r="227" customFormat="false" ht="15" hidden="false" customHeight="false" outlineLevel="0" collapsed="false">
      <c r="A227" s="56"/>
      <c r="B227" s="75" t="s">
        <v>296</v>
      </c>
      <c r="C227" s="58" t="n">
        <f aca="false">C98+$C$196</f>
        <v>10.491364351379</v>
      </c>
      <c r="D227" s="79" t="n">
        <f aca="false">$D$87+(-33*$D$68)+$D$67</f>
        <v>25.05</v>
      </c>
      <c r="E227" s="80" t="n">
        <f aca="false">$E$87+$E$67+(D227-$D$87)*$E$68+11</f>
        <v>39.2498</v>
      </c>
      <c r="F227" s="76" t="n">
        <f aca="false">F226</f>
        <v>70</v>
      </c>
      <c r="G227" s="78" t="n">
        <f aca="false">E227</f>
        <v>39.2498</v>
      </c>
    </row>
    <row r="228" customFormat="false" ht="15" hidden="false" customHeight="false" outlineLevel="0" collapsed="false">
      <c r="A228" s="56"/>
      <c r="B228" s="75" t="s">
        <v>297</v>
      </c>
      <c r="C228" s="58" t="n">
        <f aca="false">C99+$C$196</f>
        <v>10.5101845760981</v>
      </c>
      <c r="D228" s="79" t="n">
        <f aca="false">$D$87+(-55*$D$68)+$D$67</f>
        <v>3.05</v>
      </c>
      <c r="E228" s="80" t="n">
        <f aca="false">$E$87+$E$67+(D228-$D$87)*$E$68+11</f>
        <v>39.483</v>
      </c>
      <c r="F228" s="77" t="n">
        <v>-60</v>
      </c>
      <c r="G228" s="78" t="n">
        <f aca="false">E228</f>
        <v>39.483</v>
      </c>
    </row>
    <row r="229" customFormat="false" ht="15" hidden="false" customHeight="false" outlineLevel="0" collapsed="false">
      <c r="A229" s="56"/>
      <c r="B229" s="75" t="s">
        <v>298</v>
      </c>
      <c r="C229" s="58" t="n">
        <f aca="false">C100+$C$196</f>
        <v>10.5194457269322</v>
      </c>
      <c r="D229" s="79" t="n">
        <f aca="false">$D$87+(-66*$D$68)+$D$67</f>
        <v>-7.95</v>
      </c>
      <c r="E229" s="80" t="n">
        <f aca="false">$E$87+$E$67+(D229-$D$87)*$E$68+11</f>
        <v>39.5996</v>
      </c>
      <c r="F229" s="76" t="n">
        <v>-60</v>
      </c>
      <c r="G229" s="78" t="n">
        <f aca="false">E229</f>
        <v>39.5996</v>
      </c>
    </row>
    <row r="230" customFormat="false" ht="15" hidden="false" customHeight="false" outlineLevel="0" collapsed="false">
      <c r="A230" s="56"/>
      <c r="B230" s="75" t="s">
        <v>299</v>
      </c>
      <c r="C230" s="58" t="n">
        <f aca="false">C101+$C$196</f>
        <v>10.5288260469867</v>
      </c>
      <c r="D230" s="79" t="n">
        <f aca="false">$D$87+(-77*$D$68)+$D$67</f>
        <v>-18.95</v>
      </c>
      <c r="E230" s="80" t="n">
        <f aca="false">$E$87+$E$67+(D230-$D$87)*$E$68+11</f>
        <v>39.7162</v>
      </c>
      <c r="F230" s="76" t="n">
        <v>-60</v>
      </c>
      <c r="G230" s="78" t="n">
        <f aca="false">E230</f>
        <v>39.7162</v>
      </c>
    </row>
    <row r="231" customFormat="false" ht="15" hidden="false" customHeight="false" outlineLevel="0" collapsed="false">
      <c r="A231" s="56"/>
      <c r="B231" s="75" t="s">
        <v>300</v>
      </c>
      <c r="C231" s="58" t="n">
        <f aca="false">C102+$C$196</f>
        <v>10.5383</v>
      </c>
      <c r="D231" s="79" t="n">
        <f aca="false">$D$87+(-88*$D$68)+$D$67</f>
        <v>-29.95</v>
      </c>
      <c r="E231" s="80" t="n">
        <f aca="false">$E$87+$E$67+(D231-$D$87)*$E$68+11</f>
        <v>39.8328</v>
      </c>
      <c r="F231" s="76" t="n">
        <v>-60</v>
      </c>
      <c r="G231" s="78" t="n">
        <f aca="false">E231</f>
        <v>39.8328</v>
      </c>
    </row>
    <row r="232" customFormat="false" ht="15" hidden="false" customHeight="false" outlineLevel="0" collapsed="false">
      <c r="A232" s="65"/>
      <c r="B232" s="82" t="s">
        <v>301</v>
      </c>
      <c r="C232" s="58" t="n">
        <f aca="false">C103+$C$196</f>
        <v>11.3909615926389</v>
      </c>
      <c r="D232" s="111" t="n">
        <f aca="false">7+$D$4</f>
        <v>7</v>
      </c>
      <c r="E232" s="112" t="n">
        <f aca="false">1.37+$E$4</f>
        <v>1.37</v>
      </c>
      <c r="F232" s="83" t="n">
        <v>7</v>
      </c>
      <c r="G232" s="84" t="n">
        <f aca="false">E232</f>
        <v>1.37</v>
      </c>
    </row>
    <row r="233" customFormat="false" ht="15" hidden="false" customHeight="false" outlineLevel="0" collapsed="false">
      <c r="A233" s="65"/>
      <c r="B233" s="85" t="s">
        <v>302</v>
      </c>
      <c r="C233" s="86"/>
      <c r="D233" s="87"/>
      <c r="E233" s="87"/>
      <c r="F233" s="86"/>
      <c r="G233" s="88"/>
    </row>
    <row r="234" customFormat="false" ht="15" hidden="false" customHeight="false" outlineLevel="0" collapsed="false">
      <c r="A234" s="56" t="s">
        <v>150</v>
      </c>
      <c r="B234" s="89" t="s">
        <v>303</v>
      </c>
      <c r="C234" s="58" t="n">
        <f aca="false">C105+$C$196</f>
        <v>10.8383</v>
      </c>
      <c r="D234" s="59" t="n">
        <f aca="false">58.32+$D$67</f>
        <v>58.32</v>
      </c>
      <c r="E234" s="60" t="n">
        <f aca="false">56.32+$E$67</f>
        <v>56.32</v>
      </c>
      <c r="F234" s="91" t="n">
        <f aca="false">F198</f>
        <v>70</v>
      </c>
      <c r="G234" s="92" t="n">
        <f aca="false">E234</f>
        <v>56.32</v>
      </c>
    </row>
    <row r="235" customFormat="false" ht="15" hidden="false" customHeight="false" outlineLevel="0" collapsed="false">
      <c r="A235" s="56"/>
      <c r="B235" s="89" t="s">
        <v>304</v>
      </c>
      <c r="C235" s="58" t="n">
        <f aca="false">C106+$C$196</f>
        <v>10.8467377127298</v>
      </c>
      <c r="D235" s="93" t="n">
        <f aca="false">$D$105+(-11*$D$68)+$D$67</f>
        <v>47.32</v>
      </c>
      <c r="E235" s="94" t="n">
        <f aca="false">$E$87+$E$67+(D235-$D$87)*$E$68</f>
        <v>28.013738</v>
      </c>
      <c r="F235" s="91" t="n">
        <f aca="false">F199</f>
        <v>70</v>
      </c>
      <c r="G235" s="95" t="n">
        <f aca="false">E235</f>
        <v>28.013738</v>
      </c>
    </row>
    <row r="236" customFormat="false" ht="15" hidden="false" customHeight="false" outlineLevel="0" collapsed="false">
      <c r="A236" s="56"/>
      <c r="B236" s="89" t="s">
        <v>305</v>
      </c>
      <c r="C236" s="58" t="n">
        <f aca="false">C107+$C$196</f>
        <v>10.8549853868845</v>
      </c>
      <c r="D236" s="93" t="n">
        <f aca="false">$D$105+(-22*$D$68)+$D$67</f>
        <v>36.32</v>
      </c>
      <c r="E236" s="94" t="n">
        <f aca="false">$E$87+$E$67+(D236-$D$87)*$E$68</f>
        <v>28.130338</v>
      </c>
      <c r="F236" s="91" t="n">
        <f aca="false">F200</f>
        <v>70</v>
      </c>
      <c r="G236" s="95" t="n">
        <f aca="false">E236</f>
        <v>28.130338</v>
      </c>
    </row>
    <row r="237" customFormat="false" ht="15" hidden="false" customHeight="false" outlineLevel="0" collapsed="false">
      <c r="A237" s="56"/>
      <c r="B237" s="89" t="s">
        <v>306</v>
      </c>
      <c r="C237" s="58" t="n">
        <f aca="false">C108+$C$196</f>
        <v>10.8676723621511</v>
      </c>
      <c r="D237" s="93" t="n">
        <f aca="false">$D$105+(-38.5*$D$68)+$D$67</f>
        <v>19.82</v>
      </c>
      <c r="E237" s="94" t="n">
        <f aca="false">$E$87+$E$67+(D237-$D$87)*$E$68</f>
        <v>28.305238</v>
      </c>
      <c r="F237" s="91" t="n">
        <f aca="false">F201</f>
        <v>70</v>
      </c>
      <c r="G237" s="95" t="n">
        <f aca="false">E237</f>
        <v>28.305238</v>
      </c>
    </row>
    <row r="238" customFormat="false" ht="15" hidden="false" customHeight="false" outlineLevel="0" collapsed="false">
      <c r="A238" s="56"/>
      <c r="B238" s="89" t="s">
        <v>307</v>
      </c>
      <c r="C238" s="58" t="n">
        <f aca="false">C109+$C$196</f>
        <v>10.8759656455639</v>
      </c>
      <c r="D238" s="93" t="n">
        <f aca="false">$D$105+(-49.5*$D$68)+$D$67</f>
        <v>8.82</v>
      </c>
      <c r="E238" s="94" t="n">
        <f aca="false">$E$87+$E$67+(D238-$D$87)*$E$68</f>
        <v>28.421838</v>
      </c>
      <c r="F238" s="91" t="n">
        <f aca="false">F202</f>
        <v>-60</v>
      </c>
      <c r="G238" s="95" t="n">
        <f aca="false">E238</f>
        <v>28.421838</v>
      </c>
    </row>
    <row r="239" customFormat="false" ht="15" hidden="false" customHeight="false" outlineLevel="0" collapsed="false">
      <c r="A239" s="56"/>
      <c r="B239" s="89" t="s">
        <v>308</v>
      </c>
      <c r="C239" s="58" t="n">
        <f aca="false">C110+$C$196</f>
        <v>10.8885309961425</v>
      </c>
      <c r="D239" s="93" t="n">
        <f aca="false">$D$105+(-66*$D$68)+$D$67</f>
        <v>-7.68</v>
      </c>
      <c r="E239" s="94" t="n">
        <f aca="false">$E$87+$E$67+(D239-$D$87)*$E$68</f>
        <v>28.596738</v>
      </c>
      <c r="F239" s="91" t="n">
        <f aca="false">F203</f>
        <v>-60</v>
      </c>
      <c r="G239" s="95" t="n">
        <f aca="false">E239</f>
        <v>28.596738</v>
      </c>
    </row>
    <row r="240" customFormat="false" ht="15" hidden="false" customHeight="false" outlineLevel="0" collapsed="false">
      <c r="A240" s="56"/>
      <c r="B240" s="89" t="s">
        <v>309</v>
      </c>
      <c r="C240" s="58" t="n">
        <f aca="false">C111+$C$196</f>
        <v>10.8969383027003</v>
      </c>
      <c r="D240" s="93" t="n">
        <f aca="false">$D$105+(-77*$D$68)+$D$67</f>
        <v>-18.68</v>
      </c>
      <c r="E240" s="94" t="n">
        <f aca="false">$E$87+$E$67+(D240-$D$87)*$E$68</f>
        <v>28.713338</v>
      </c>
      <c r="F240" s="91" t="n">
        <f aca="false">F204</f>
        <v>-60</v>
      </c>
      <c r="G240" s="95" t="n">
        <f aca="false">E240</f>
        <v>28.713338</v>
      </c>
    </row>
    <row r="241" customFormat="false" ht="15" hidden="false" customHeight="false" outlineLevel="0" collapsed="false">
      <c r="A241" s="56"/>
      <c r="B241" s="89" t="s">
        <v>310</v>
      </c>
      <c r="C241" s="58" t="n">
        <f aca="false">C112+$C$196</f>
        <v>10.9053</v>
      </c>
      <c r="D241" s="93" t="n">
        <f aca="false">$D$105+(-88*$D$68)+$D$67</f>
        <v>-29.68</v>
      </c>
      <c r="E241" s="94" t="n">
        <f aca="false">$E$87+$E$67+(D241-$D$87)*$E$68</f>
        <v>28.829938</v>
      </c>
      <c r="F241" s="91" t="n">
        <f aca="false">F205</f>
        <v>-60</v>
      </c>
      <c r="G241" s="95" t="n">
        <f aca="false">E241</f>
        <v>28.829938</v>
      </c>
    </row>
    <row r="242" customFormat="false" ht="15" hidden="false" customHeight="false" outlineLevel="0" collapsed="false">
      <c r="A242" s="56"/>
      <c r="B242" s="89" t="s">
        <v>311</v>
      </c>
      <c r="C242" s="58" t="n">
        <f aca="false">C113+$C$196</f>
        <v>10.8383</v>
      </c>
      <c r="D242" s="93" t="n">
        <f aca="false">$D$105+(0*$D$68)+$D$67</f>
        <v>58.32</v>
      </c>
      <c r="E242" s="94" t="n">
        <f aca="false">$E$87+$E$67+(D242-$D$87)*$E$68+11</f>
        <v>38.897138</v>
      </c>
      <c r="F242" s="91" t="n">
        <f aca="false">F206</f>
        <v>70</v>
      </c>
      <c r="G242" s="95" t="n">
        <f aca="false">E242</f>
        <v>38.897138</v>
      </c>
    </row>
    <row r="243" customFormat="false" ht="15" hidden="false" customHeight="false" outlineLevel="0" collapsed="false">
      <c r="A243" s="56"/>
      <c r="B243" s="89" t="s">
        <v>312</v>
      </c>
      <c r="C243" s="58" t="n">
        <f aca="false">C114+$C$196</f>
        <v>10.8569628104798</v>
      </c>
      <c r="D243" s="93" t="n">
        <f aca="false">$D$105+(-11*$D$68)+$D$67</f>
        <v>47.32</v>
      </c>
      <c r="E243" s="94" t="n">
        <f aca="false">$E$87+$E$67+(D243-$D$87)*$E$68+11</f>
        <v>39.013738</v>
      </c>
      <c r="F243" s="91" t="n">
        <f aca="false">F207</f>
        <v>70</v>
      </c>
      <c r="G243" s="95" t="n">
        <f aca="false">E243</f>
        <v>39.013738</v>
      </c>
    </row>
    <row r="244" customFormat="false" ht="15" hidden="false" customHeight="false" outlineLevel="0" collapsed="false">
      <c r="A244" s="56"/>
      <c r="B244" s="89" t="s">
        <v>313</v>
      </c>
      <c r="C244" s="58" t="n">
        <f aca="false">C115+$C$196</f>
        <v>10.8758808097993</v>
      </c>
      <c r="D244" s="93" t="n">
        <f aca="false">$D$105+(-22*$D$68)+$D$67</f>
        <v>36.32</v>
      </c>
      <c r="E244" s="94" t="n">
        <f aca="false">$E$87+$E$67+(D244-$D$87)*$E$68+11</f>
        <v>39.130338</v>
      </c>
      <c r="F244" s="91" t="n">
        <f aca="false">F208</f>
        <v>70</v>
      </c>
      <c r="G244" s="95" t="n">
        <f aca="false">E244</f>
        <v>39.130338</v>
      </c>
    </row>
    <row r="245" customFormat="false" ht="15" hidden="false" customHeight="false" outlineLevel="0" collapsed="false">
      <c r="A245" s="56"/>
      <c r="B245" s="89" t="s">
        <v>314</v>
      </c>
      <c r="C245" s="58" t="n">
        <f aca="false">C116+$C$196</f>
        <v>10.894594658047</v>
      </c>
      <c r="D245" s="93" t="n">
        <f aca="false">$D$105+(-33*$D$68)+$D$67</f>
        <v>25.32</v>
      </c>
      <c r="E245" s="94" t="n">
        <f aca="false">$E$87+$E$67+(D245-$D$87)*$E$68+11</f>
        <v>39.246938</v>
      </c>
      <c r="F245" s="91" t="n">
        <f aca="false">F209</f>
        <v>70</v>
      </c>
      <c r="G245" s="95" t="n">
        <f aca="false">E245</f>
        <v>39.246938</v>
      </c>
    </row>
    <row r="246" customFormat="false" ht="15" hidden="false" customHeight="false" outlineLevel="0" collapsed="false">
      <c r="A246" s="56"/>
      <c r="B246" s="89" t="s">
        <v>315</v>
      </c>
      <c r="C246" s="58" t="n">
        <f aca="false">C117+$C$196</f>
        <v>10.9319543041851</v>
      </c>
      <c r="D246" s="93" t="n">
        <f aca="false">$D$105+(-55*$D$68)+$D$67</f>
        <v>3.32</v>
      </c>
      <c r="E246" s="94" t="n">
        <f aca="false">$E$87+$E$67+(D246-$D$87)*$E$68+11</f>
        <v>39.480138</v>
      </c>
      <c r="F246" s="91" t="n">
        <f aca="false">F210</f>
        <v>-60</v>
      </c>
      <c r="G246" s="95" t="n">
        <f aca="false">E246</f>
        <v>39.480138</v>
      </c>
    </row>
    <row r="247" customFormat="false" ht="15" hidden="false" customHeight="false" outlineLevel="0" collapsed="false">
      <c r="A247" s="56"/>
      <c r="B247" s="89" t="s">
        <v>316</v>
      </c>
      <c r="C247" s="58" t="n">
        <f aca="false">C118+$C$196</f>
        <v>10.9507191902007</v>
      </c>
      <c r="D247" s="93" t="n">
        <f aca="false">$D$105+(-66*$D$68)+$D$67</f>
        <v>-7.68</v>
      </c>
      <c r="E247" s="94" t="n">
        <f aca="false">$E$87+$E$67+(D247-$D$87)*$E$68+11</f>
        <v>39.596738</v>
      </c>
      <c r="F247" s="91" t="n">
        <f aca="false">F211</f>
        <v>-60</v>
      </c>
      <c r="G247" s="95" t="n">
        <f aca="false">E247</f>
        <v>39.596738</v>
      </c>
    </row>
    <row r="248" customFormat="false" ht="15" hidden="false" customHeight="false" outlineLevel="0" collapsed="false">
      <c r="A248" s="56"/>
      <c r="B248" s="89" t="s">
        <v>317</v>
      </c>
      <c r="C248" s="58" t="n">
        <f aca="false">C119+$C$196</f>
        <v>10.9693820006805</v>
      </c>
      <c r="D248" s="93" t="n">
        <f aca="false">$D$105+(-77*$D$68)+$D$67</f>
        <v>-18.68</v>
      </c>
      <c r="E248" s="94" t="n">
        <f aca="false">$E$87+$E$67+(D248-$D$87)*$E$68+11</f>
        <v>39.713338</v>
      </c>
      <c r="F248" s="91" t="n">
        <f aca="false">F212</f>
        <v>-60</v>
      </c>
      <c r="G248" s="95" t="n">
        <f aca="false">E248</f>
        <v>39.713338</v>
      </c>
    </row>
    <row r="249" customFormat="false" ht="15" hidden="false" customHeight="false" outlineLevel="0" collapsed="false">
      <c r="A249" s="56"/>
      <c r="B249" s="89" t="s">
        <v>318</v>
      </c>
      <c r="C249" s="58" t="n">
        <f aca="false">C120+$C$196</f>
        <v>10.9883</v>
      </c>
      <c r="D249" s="93" t="n">
        <f aca="false">$D$105+(-88*$D$68)+$D$67</f>
        <v>-29.68</v>
      </c>
      <c r="E249" s="94" t="n">
        <f aca="false">$E$87+$E$67+(D249-$D$87)*$E$68+11</f>
        <v>39.829938</v>
      </c>
      <c r="F249" s="91" t="n">
        <f aca="false">F213</f>
        <v>-60</v>
      </c>
      <c r="G249" s="95" t="n">
        <f aca="false">E249</f>
        <v>39.829938</v>
      </c>
    </row>
    <row r="250" customFormat="false" ht="15" hidden="false" customHeight="false" outlineLevel="0" collapsed="false">
      <c r="A250" s="65"/>
      <c r="B250" s="96" t="s">
        <v>319</v>
      </c>
      <c r="C250" s="58" t="n">
        <f aca="false">C121+$C$196</f>
        <v>11.872993442251</v>
      </c>
      <c r="D250" s="113" t="n">
        <v>13.57</v>
      </c>
      <c r="E250" s="114" t="n">
        <v>59.5</v>
      </c>
      <c r="F250" s="97" t="n">
        <f aca="false">D250</f>
        <v>13.57</v>
      </c>
      <c r="G250" s="98" t="n">
        <f aca="false">E250-2</f>
        <v>57.5</v>
      </c>
    </row>
    <row r="251" customFormat="false" ht="15" hidden="false" customHeight="false" outlineLevel="0" collapsed="false">
      <c r="A251" s="65"/>
      <c r="B251" s="99" t="s">
        <v>320</v>
      </c>
      <c r="C251" s="58" t="n">
        <f aca="false">C122+$C$196</f>
        <v>9.46</v>
      </c>
      <c r="D251" s="101" t="n">
        <f aca="false">6+$D$4</f>
        <v>6</v>
      </c>
      <c r="E251" s="101" t="n">
        <f aca="false">17+$D$4</f>
        <v>17</v>
      </c>
      <c r="F251" s="100" t="n">
        <v>3</v>
      </c>
      <c r="G251" s="102" t="n">
        <f aca="false">E251</f>
        <v>17</v>
      </c>
    </row>
    <row r="252" customFormat="false" ht="15" hidden="false" customHeight="false" outlineLevel="0" collapsed="false">
      <c r="A252" s="65"/>
      <c r="B252" s="89" t="s">
        <v>321</v>
      </c>
      <c r="C252" s="58" t="n">
        <f aca="false">C123+$C$196</f>
        <v>10.9883</v>
      </c>
      <c r="D252" s="93" t="n">
        <f aca="false">F252</f>
        <v>70</v>
      </c>
      <c r="E252" s="94" t="n">
        <f aca="false">$E$42+$E$4+(D252-$D$42)*$E$5+11</f>
        <v>67.998242</v>
      </c>
      <c r="F252" s="91" t="n">
        <f aca="false">F216</f>
        <v>70</v>
      </c>
      <c r="G252" s="95" t="n">
        <f aca="false">E252</f>
        <v>67.998242</v>
      </c>
    </row>
    <row r="253" customFormat="false" ht="15" hidden="false" customHeight="false" outlineLevel="0" collapsed="false">
      <c r="A253" s="65"/>
      <c r="B253" s="89"/>
      <c r="C253" s="58"/>
      <c r="D253" s="93"/>
      <c r="E253" s="94"/>
      <c r="F253" s="91"/>
      <c r="G253" s="95"/>
    </row>
    <row r="254" customFormat="false" ht="15" hidden="false" customHeight="false" outlineLevel="0" collapsed="false">
      <c r="B254" s="4" t="s">
        <v>322</v>
      </c>
      <c r="C254" s="90" t="n">
        <f aca="false">S254+((T254/2)-($T$1/2))</f>
        <v>0</v>
      </c>
      <c r="D254" s="122" t="n">
        <f aca="false">$D$298-(4*$I$298)</f>
        <v>46.9</v>
      </c>
      <c r="E254" s="48" t="n">
        <f aca="false">$E$298-(4*$J$298)</f>
        <v>26.774</v>
      </c>
      <c r="F254" s="48" t="n">
        <v>66</v>
      </c>
      <c r="G254" s="48" t="n">
        <f aca="false">E254</f>
        <v>26.774</v>
      </c>
    </row>
    <row r="255" customFormat="false" ht="15" hidden="false" customHeight="false" outlineLevel="0" collapsed="false">
      <c r="B255" s="4" t="s">
        <v>323</v>
      </c>
      <c r="C255" s="90" t="n">
        <f aca="false">S255+((T255/2)-($T$1/2))</f>
        <v>0</v>
      </c>
      <c r="D255" s="122" t="n">
        <f aca="false">$D$298-(3*$I$298)</f>
        <v>46.9</v>
      </c>
      <c r="E255" s="48" t="n">
        <f aca="false">$E$298-(4*$J$298)</f>
        <v>26.774</v>
      </c>
      <c r="F255" s="48" t="n">
        <v>66</v>
      </c>
      <c r="G255" s="48" t="n">
        <f aca="false">E255</f>
        <v>26.774</v>
      </c>
    </row>
    <row r="256" customFormat="false" ht="15" hidden="false" customHeight="false" outlineLevel="0" collapsed="false">
      <c r="B256" s="4" t="s">
        <v>324</v>
      </c>
      <c r="C256" s="90" t="n">
        <f aca="false">S256+((T256/2)-($T$1/2))</f>
        <v>0</v>
      </c>
      <c r="D256" s="122" t="n">
        <f aca="false">$D$298-(2*$I$298)</f>
        <v>46.9</v>
      </c>
      <c r="E256" s="48" t="n">
        <f aca="false">$E$298-(4*$J$298)</f>
        <v>26.774</v>
      </c>
      <c r="F256" s="48" t="n">
        <v>66</v>
      </c>
      <c r="G256" s="48" t="n">
        <f aca="false">E256</f>
        <v>26.774</v>
      </c>
    </row>
    <row r="257" customFormat="false" ht="15" hidden="false" customHeight="false" outlineLevel="0" collapsed="false">
      <c r="A257" s="115"/>
      <c r="B257" s="4" t="s">
        <v>325</v>
      </c>
      <c r="C257" s="90" t="n">
        <f aca="false">S257+((T257/2)-($T$1/2))</f>
        <v>0</v>
      </c>
      <c r="D257" s="122" t="n">
        <f aca="false">$D$298-(1*$I$298)</f>
        <v>46.9</v>
      </c>
      <c r="E257" s="48" t="n">
        <f aca="false">$E$298-(4*$J$298)</f>
        <v>26.774</v>
      </c>
      <c r="F257" s="48" t="n">
        <v>66</v>
      </c>
      <c r="G257" s="48" t="n">
        <f aca="false">E257</f>
        <v>26.774</v>
      </c>
    </row>
    <row r="258" customFormat="false" ht="15" hidden="false" customHeight="false" outlineLevel="0" collapsed="false">
      <c r="A258" s="115"/>
      <c r="B258" s="4" t="s">
        <v>326</v>
      </c>
      <c r="C258" s="90" t="n">
        <f aca="false">S258+((T258/2)-($T$1/2))</f>
        <v>0</v>
      </c>
      <c r="D258" s="122" t="n">
        <f aca="false">$D$298</f>
        <v>46.9</v>
      </c>
      <c r="E258" s="48" t="n">
        <f aca="false">$E$298-(4*$J$298)</f>
        <v>26.774</v>
      </c>
      <c r="F258" s="48" t="n">
        <v>66</v>
      </c>
      <c r="G258" s="48" t="n">
        <f aca="false">E258</f>
        <v>26.774</v>
      </c>
    </row>
    <row r="259" customFormat="false" ht="15" hidden="false" customHeight="false" outlineLevel="0" collapsed="false">
      <c r="A259" s="115"/>
      <c r="B259" s="4" t="s">
        <v>327</v>
      </c>
      <c r="C259" s="90" t="n">
        <f aca="false">S259+((T259/2)-($T$1/2))</f>
        <v>0</v>
      </c>
      <c r="D259" s="122" t="n">
        <f aca="false">$D$298+(1*$I$298)</f>
        <v>46.9</v>
      </c>
      <c r="E259" s="48" t="n">
        <f aca="false">$E$298-(4*$J$298)</f>
        <v>26.774</v>
      </c>
      <c r="F259" s="48" t="n">
        <v>66</v>
      </c>
      <c r="G259" s="48" t="n">
        <f aca="false">E259</f>
        <v>26.774</v>
      </c>
    </row>
    <row r="260" customFormat="false" ht="15" hidden="false" customHeight="false" outlineLevel="0" collapsed="false">
      <c r="A260" s="115"/>
      <c r="B260" s="4" t="s">
        <v>328</v>
      </c>
      <c r="C260" s="90" t="n">
        <f aca="false">S260+((T260/2)-($T$1/2))</f>
        <v>0</v>
      </c>
      <c r="D260" s="122" t="n">
        <f aca="false">$D$298+(2*$I$298)</f>
        <v>46.9</v>
      </c>
      <c r="E260" s="48" t="n">
        <f aca="false">$E$298-(4*$J$298)</f>
        <v>26.774</v>
      </c>
      <c r="F260" s="48" t="n">
        <v>66</v>
      </c>
      <c r="G260" s="48" t="n">
        <f aca="false">E260</f>
        <v>26.774</v>
      </c>
    </row>
    <row r="261" customFormat="false" ht="15" hidden="false" customHeight="false" outlineLevel="0" collapsed="false">
      <c r="A261" s="115"/>
      <c r="B261" s="4" t="s">
        <v>329</v>
      </c>
      <c r="C261" s="90" t="n">
        <f aca="false">S261+((T261/2)-($T$1/2))</f>
        <v>0</v>
      </c>
      <c r="D261" s="122" t="n">
        <f aca="false">$D$298+(3*$I$298)</f>
        <v>46.9</v>
      </c>
      <c r="E261" s="48" t="n">
        <f aca="false">$E$298-(4*$J$298)</f>
        <v>26.774</v>
      </c>
      <c r="F261" s="48" t="n">
        <v>66</v>
      </c>
      <c r="G261" s="48" t="n">
        <f aca="false">E261</f>
        <v>26.774</v>
      </c>
    </row>
    <row r="262" customFormat="false" ht="15" hidden="false" customHeight="false" outlineLevel="0" collapsed="false">
      <c r="B262" s="4" t="s">
        <v>330</v>
      </c>
      <c r="C262" s="90" t="n">
        <f aca="false">S262+((T262/2)-($T$1/2))</f>
        <v>0</v>
      </c>
      <c r="D262" s="122" t="n">
        <f aca="false">$D$298+(4*$I$298)</f>
        <v>46.9</v>
      </c>
      <c r="E262" s="48" t="n">
        <f aca="false">$E$298-(4*$J$298)</f>
        <v>26.774</v>
      </c>
      <c r="F262" s="48" t="n">
        <v>66</v>
      </c>
      <c r="G262" s="48" t="n">
        <f aca="false">E262</f>
        <v>26.774</v>
      </c>
    </row>
    <row r="263" customFormat="false" ht="15" hidden="false" customHeight="false" outlineLevel="0" collapsed="false">
      <c r="A263" s="115"/>
      <c r="B263" s="4" t="s">
        <v>331</v>
      </c>
      <c r="C263" s="90" t="n">
        <f aca="false">S263+((T263/2)-($T$1/2))</f>
        <v>0</v>
      </c>
      <c r="D263" s="122" t="n">
        <f aca="false">$D$298+(5*$I$298)</f>
        <v>46.9</v>
      </c>
      <c r="E263" s="48" t="n">
        <f aca="false">$E$298-(4*$J$298)</f>
        <v>26.774</v>
      </c>
      <c r="F263" s="48" t="n">
        <v>66</v>
      </c>
      <c r="G263" s="48" t="n">
        <f aca="false">E263</f>
        <v>26.774</v>
      </c>
    </row>
    <row r="264" customFormat="false" ht="15" hidden="false" customHeight="false" outlineLevel="0" collapsed="false">
      <c r="A264" s="115"/>
      <c r="B264" s="4" t="s">
        <v>332</v>
      </c>
      <c r="C264" s="90" t="n">
        <f aca="false">S264+((T264/2)-($T$1/2))</f>
        <v>0</v>
      </c>
      <c r="D264" s="122" t="n">
        <f aca="false">$D$298-(4*$I$298)</f>
        <v>46.9</v>
      </c>
      <c r="E264" s="48" t="n">
        <f aca="false">$E$298-(3*$J$298)</f>
        <v>26.774</v>
      </c>
      <c r="F264" s="48" t="n">
        <v>66</v>
      </c>
      <c r="G264" s="48" t="n">
        <f aca="false">E264</f>
        <v>26.774</v>
      </c>
    </row>
    <row r="265" customFormat="false" ht="15" hidden="false" customHeight="false" outlineLevel="0" collapsed="false">
      <c r="A265" s="115"/>
      <c r="B265" s="4" t="s">
        <v>333</v>
      </c>
      <c r="C265" s="90" t="n">
        <f aca="false">S265+((T265/2)-($T$1/2))</f>
        <v>0</v>
      </c>
      <c r="D265" s="122" t="n">
        <f aca="false">$D$298-(3*$I$298)</f>
        <v>46.9</v>
      </c>
      <c r="E265" s="48" t="n">
        <f aca="false">$E$298-(3*$J$298)</f>
        <v>26.774</v>
      </c>
      <c r="F265" s="48" t="n">
        <v>66</v>
      </c>
      <c r="G265" s="48" t="n">
        <f aca="false">E265</f>
        <v>26.774</v>
      </c>
    </row>
    <row r="266" customFormat="false" ht="15" hidden="false" customHeight="false" outlineLevel="0" collapsed="false">
      <c r="A266" s="115"/>
      <c r="B266" s="4" t="s">
        <v>334</v>
      </c>
      <c r="C266" s="90" t="n">
        <f aca="false">S266+((T266/2)-($T$1/2))</f>
        <v>0</v>
      </c>
      <c r="D266" s="122" t="n">
        <f aca="false">$D$298-(2*$I$298)</f>
        <v>46.9</v>
      </c>
      <c r="E266" s="48" t="n">
        <f aca="false">$E$298-(3*$J$298)</f>
        <v>26.774</v>
      </c>
      <c r="F266" s="48" t="n">
        <v>66</v>
      </c>
      <c r="G266" s="48" t="n">
        <f aca="false">E266</f>
        <v>26.774</v>
      </c>
    </row>
    <row r="267" customFormat="false" ht="15" hidden="false" customHeight="false" outlineLevel="0" collapsed="false">
      <c r="A267" s="115"/>
      <c r="B267" s="4" t="s">
        <v>335</v>
      </c>
      <c r="C267" s="90" t="n">
        <f aca="false">S267+((T267/2)-($T$1/2))</f>
        <v>0</v>
      </c>
      <c r="D267" s="122" t="n">
        <f aca="false">$D$298-(1*$I$298)</f>
        <v>46.9</v>
      </c>
      <c r="E267" s="48" t="n">
        <f aca="false">$E$298-(3*$J$298)</f>
        <v>26.774</v>
      </c>
      <c r="F267" s="48" t="n">
        <v>66</v>
      </c>
      <c r="G267" s="48" t="n">
        <f aca="false">E267</f>
        <v>26.774</v>
      </c>
    </row>
    <row r="268" customFormat="false" ht="15" hidden="false" customHeight="false" outlineLevel="0" collapsed="false">
      <c r="B268" s="4" t="s">
        <v>336</v>
      </c>
      <c r="C268" s="90" t="n">
        <f aca="false">S268+((T268/2)-($T$1/2))</f>
        <v>0</v>
      </c>
      <c r="D268" s="122" t="n">
        <f aca="false">$D$298</f>
        <v>46.9</v>
      </c>
      <c r="E268" s="48" t="n">
        <f aca="false">$E$298-(3*$J$298)</f>
        <v>26.774</v>
      </c>
      <c r="F268" s="48" t="n">
        <v>66</v>
      </c>
      <c r="G268" s="48" t="n">
        <f aca="false">E268</f>
        <v>26.774</v>
      </c>
    </row>
    <row r="269" customFormat="false" ht="15" hidden="false" customHeight="false" outlineLevel="0" collapsed="false">
      <c r="A269" s="115"/>
      <c r="B269" s="4" t="s">
        <v>337</v>
      </c>
      <c r="C269" s="90" t="n">
        <f aca="false">S269+((T269/2)-($T$1/2))</f>
        <v>0</v>
      </c>
      <c r="D269" s="122" t="n">
        <f aca="false">$D$298+(1*$I$298)</f>
        <v>46.9</v>
      </c>
      <c r="E269" s="48" t="n">
        <f aca="false">$E$298-(3*$J$298)</f>
        <v>26.774</v>
      </c>
      <c r="F269" s="48" t="n">
        <v>66</v>
      </c>
      <c r="G269" s="48" t="n">
        <f aca="false">E269</f>
        <v>26.774</v>
      </c>
    </row>
    <row r="270" customFormat="false" ht="15" hidden="false" customHeight="false" outlineLevel="0" collapsed="false">
      <c r="A270" s="115"/>
      <c r="B270" s="4" t="s">
        <v>338</v>
      </c>
      <c r="C270" s="90" t="n">
        <f aca="false">S270+((T270/2)-($T$1/2))</f>
        <v>0</v>
      </c>
      <c r="D270" s="122" t="n">
        <f aca="false">$D$298+(2*$I$298)</f>
        <v>46.9</v>
      </c>
      <c r="E270" s="48" t="n">
        <f aca="false">$E$298-(3*$J$298)</f>
        <v>26.774</v>
      </c>
      <c r="F270" s="48" t="n">
        <v>66</v>
      </c>
      <c r="G270" s="48" t="n">
        <f aca="false">E270</f>
        <v>26.774</v>
      </c>
    </row>
    <row r="271" customFormat="false" ht="15" hidden="false" customHeight="false" outlineLevel="0" collapsed="false">
      <c r="A271" s="115"/>
      <c r="B271" s="4" t="s">
        <v>339</v>
      </c>
      <c r="C271" s="90" t="n">
        <f aca="false">S271+((T271/2)-($T$1/2))</f>
        <v>0</v>
      </c>
      <c r="D271" s="122" t="n">
        <f aca="false">$D$298+(3*$I$298)</f>
        <v>46.9</v>
      </c>
      <c r="E271" s="48" t="n">
        <f aca="false">$E$298-(3*$J$298)</f>
        <v>26.774</v>
      </c>
      <c r="F271" s="48" t="n">
        <v>66</v>
      </c>
      <c r="G271" s="48" t="n">
        <f aca="false">E271</f>
        <v>26.774</v>
      </c>
    </row>
    <row r="272" customFormat="false" ht="15" hidden="false" customHeight="false" outlineLevel="0" collapsed="false">
      <c r="A272" s="115"/>
      <c r="B272" s="4" t="s">
        <v>340</v>
      </c>
      <c r="C272" s="90" t="n">
        <f aca="false">S272+((T272/2)-($T$1/2))</f>
        <v>0</v>
      </c>
      <c r="D272" s="122" t="n">
        <f aca="false">$D$298+(4*$I$298)</f>
        <v>46.9</v>
      </c>
      <c r="E272" s="48" t="n">
        <f aca="false">$E$298-(3*$J$298)</f>
        <v>26.774</v>
      </c>
      <c r="F272" s="48" t="n">
        <v>66</v>
      </c>
      <c r="G272" s="48" t="n">
        <f aca="false">E272</f>
        <v>26.774</v>
      </c>
    </row>
    <row r="273" customFormat="false" ht="15" hidden="false" customHeight="false" outlineLevel="0" collapsed="false">
      <c r="A273" s="115"/>
      <c r="B273" s="4" t="s">
        <v>341</v>
      </c>
      <c r="C273" s="90" t="n">
        <f aca="false">S273+((T273/2)-($T$1/2))</f>
        <v>0</v>
      </c>
      <c r="D273" s="122" t="n">
        <f aca="false">$D$298+(5*$I$298)</f>
        <v>46.9</v>
      </c>
      <c r="E273" s="48" t="n">
        <f aca="false">$E$298-(3*$J$298)</f>
        <v>26.774</v>
      </c>
      <c r="F273" s="48" t="n">
        <v>66</v>
      </c>
      <c r="G273" s="48" t="n">
        <f aca="false">E273</f>
        <v>26.774</v>
      </c>
    </row>
    <row r="274" customFormat="false" ht="15" hidden="false" customHeight="false" outlineLevel="0" collapsed="false">
      <c r="B274" s="4" t="s">
        <v>342</v>
      </c>
      <c r="C274" s="90" t="n">
        <f aca="false">S274+((T274/2)-($T$1/2))</f>
        <v>0</v>
      </c>
      <c r="D274" s="122" t="n">
        <f aca="false">$D$298-(4*$I$298)</f>
        <v>46.9</v>
      </c>
      <c r="E274" s="48" t="n">
        <f aca="false">$E$298-(2*$J$298)</f>
        <v>26.774</v>
      </c>
      <c r="F274" s="48" t="n">
        <v>66</v>
      </c>
      <c r="G274" s="48" t="n">
        <f aca="false">E274</f>
        <v>26.774</v>
      </c>
    </row>
    <row r="275" customFormat="false" ht="15" hidden="false" customHeight="false" outlineLevel="0" collapsed="false">
      <c r="B275" s="4" t="s">
        <v>343</v>
      </c>
      <c r="C275" s="90" t="n">
        <f aca="false">S275+((T275/2)-($T$1/2))</f>
        <v>0</v>
      </c>
      <c r="D275" s="122" t="n">
        <f aca="false">$D$298-(3*$I$298)</f>
        <v>46.9</v>
      </c>
      <c r="E275" s="48" t="n">
        <f aca="false">$E$298-(2*$J$298)</f>
        <v>26.774</v>
      </c>
      <c r="F275" s="48" t="n">
        <v>66</v>
      </c>
      <c r="G275" s="48" t="n">
        <f aca="false">E275</f>
        <v>26.774</v>
      </c>
    </row>
    <row r="276" customFormat="false" ht="15" hidden="false" customHeight="false" outlineLevel="0" collapsed="false">
      <c r="B276" s="4" t="s">
        <v>344</v>
      </c>
      <c r="C276" s="90" t="n">
        <f aca="false">S276+((T276/2)-($T$1/2))</f>
        <v>0</v>
      </c>
      <c r="D276" s="122" t="n">
        <f aca="false">$D$298-(2*$I$298)</f>
        <v>46.9</v>
      </c>
      <c r="E276" s="48" t="n">
        <f aca="false">$E$298-(2*$J$298)</f>
        <v>26.774</v>
      </c>
      <c r="F276" s="48" t="n">
        <v>66</v>
      </c>
      <c r="G276" s="48" t="n">
        <f aca="false">E276</f>
        <v>26.774</v>
      </c>
    </row>
    <row r="277" customFormat="false" ht="15" hidden="false" customHeight="false" outlineLevel="0" collapsed="false">
      <c r="B277" s="4" t="s">
        <v>345</v>
      </c>
      <c r="C277" s="90" t="n">
        <f aca="false">S277+((T277/2)-($T$1/2))</f>
        <v>0</v>
      </c>
      <c r="D277" s="122" t="n">
        <f aca="false">$D$298-(1*$I$298)</f>
        <v>46.9</v>
      </c>
      <c r="E277" s="48" t="n">
        <f aca="false">$E$298-(2*$J$298)</f>
        <v>26.774</v>
      </c>
      <c r="F277" s="48" t="n">
        <v>66</v>
      </c>
      <c r="G277" s="48" t="n">
        <f aca="false">E277</f>
        <v>26.774</v>
      </c>
    </row>
    <row r="278" customFormat="false" ht="15" hidden="false" customHeight="false" outlineLevel="0" collapsed="false">
      <c r="B278" s="4" t="s">
        <v>346</v>
      </c>
      <c r="C278" s="90" t="n">
        <f aca="false">S278+((T278/2)-($T$1/2))</f>
        <v>0</v>
      </c>
      <c r="D278" s="122" t="n">
        <f aca="false">$D$298</f>
        <v>46.9</v>
      </c>
      <c r="E278" s="48" t="n">
        <f aca="false">$E$298-(2*$J$298)</f>
        <v>26.774</v>
      </c>
      <c r="F278" s="48" t="n">
        <v>66</v>
      </c>
      <c r="G278" s="48" t="n">
        <f aca="false">E278</f>
        <v>26.774</v>
      </c>
    </row>
    <row r="279" customFormat="false" ht="15" hidden="false" customHeight="false" outlineLevel="0" collapsed="false">
      <c r="B279" s="4" t="s">
        <v>347</v>
      </c>
      <c r="C279" s="90" t="n">
        <f aca="false">S279+((T279/2)-($T$1/2))</f>
        <v>0</v>
      </c>
      <c r="D279" s="122" t="n">
        <f aca="false">$D$298+(1*$I$298)</f>
        <v>46.9</v>
      </c>
      <c r="E279" s="48" t="n">
        <f aca="false">$E$298-(2*$J$298)</f>
        <v>26.774</v>
      </c>
      <c r="F279" s="48" t="n">
        <v>66</v>
      </c>
      <c r="G279" s="48" t="n">
        <f aca="false">E279</f>
        <v>26.774</v>
      </c>
    </row>
    <row r="280" customFormat="false" ht="15" hidden="false" customHeight="false" outlineLevel="0" collapsed="false">
      <c r="B280" s="4" t="s">
        <v>348</v>
      </c>
      <c r="C280" s="90" t="n">
        <f aca="false">S280+((T280/2)-($T$1/2))</f>
        <v>0</v>
      </c>
      <c r="D280" s="122" t="n">
        <f aca="false">$D$298+(2*$I$298)</f>
        <v>46.9</v>
      </c>
      <c r="E280" s="48" t="n">
        <f aca="false">$E$298-(2*$J$298)</f>
        <v>26.774</v>
      </c>
      <c r="F280" s="48" t="n">
        <v>66</v>
      </c>
      <c r="G280" s="48" t="n">
        <f aca="false">E280</f>
        <v>26.774</v>
      </c>
    </row>
    <row r="281" customFormat="false" ht="15" hidden="false" customHeight="false" outlineLevel="0" collapsed="false">
      <c r="B281" s="4" t="s">
        <v>349</v>
      </c>
      <c r="C281" s="90" t="n">
        <f aca="false">S281+((T281/2)-($T$1/2))</f>
        <v>0</v>
      </c>
      <c r="D281" s="122" t="n">
        <f aca="false">$D$298+(3*$I$298)</f>
        <v>46.9</v>
      </c>
      <c r="E281" s="48" t="n">
        <f aca="false">$E$298-(2*$J$298)</f>
        <v>26.774</v>
      </c>
      <c r="F281" s="48" t="n">
        <v>66</v>
      </c>
      <c r="G281" s="48" t="n">
        <f aca="false">E281</f>
        <v>26.774</v>
      </c>
    </row>
    <row r="282" customFormat="false" ht="15" hidden="false" customHeight="false" outlineLevel="0" collapsed="false">
      <c r="A282" s="115"/>
      <c r="B282" s="4" t="s">
        <v>350</v>
      </c>
      <c r="C282" s="90" t="n">
        <f aca="false">S282+((T282/2)-($T$1/2))</f>
        <v>0</v>
      </c>
      <c r="D282" s="122" t="n">
        <f aca="false">$D$298+(4*$I$298)</f>
        <v>46.9</v>
      </c>
      <c r="E282" s="48" t="n">
        <f aca="false">$E$298-(2*$J$298)</f>
        <v>26.774</v>
      </c>
      <c r="F282" s="48" t="n">
        <v>66</v>
      </c>
      <c r="G282" s="48" t="n">
        <f aca="false">E282</f>
        <v>26.774</v>
      </c>
    </row>
    <row r="283" customFormat="false" ht="15" hidden="false" customHeight="false" outlineLevel="0" collapsed="false">
      <c r="A283" s="115"/>
      <c r="B283" s="4" t="s">
        <v>351</v>
      </c>
      <c r="C283" s="90" t="n">
        <f aca="false">S283+((T283/2)-($T$1/2))</f>
        <v>0</v>
      </c>
      <c r="D283" s="122" t="n">
        <f aca="false">$D$298+(5*$I$298)</f>
        <v>46.9</v>
      </c>
      <c r="E283" s="48" t="n">
        <f aca="false">$E$298-(2*$J$298)</f>
        <v>26.774</v>
      </c>
      <c r="F283" s="48" t="n">
        <v>66</v>
      </c>
      <c r="G283" s="48" t="n">
        <f aca="false">E283</f>
        <v>26.774</v>
      </c>
    </row>
    <row r="284" customFormat="false" ht="15" hidden="false" customHeight="false" outlineLevel="0" collapsed="false">
      <c r="A284" s="115"/>
      <c r="B284" s="4" t="s">
        <v>352</v>
      </c>
      <c r="C284" s="90" t="n">
        <f aca="false">S284+((T284/2)-($T$1/2))</f>
        <v>0</v>
      </c>
      <c r="D284" s="122" t="n">
        <f aca="false">$D$298-(4*$I$298)</f>
        <v>46.9</v>
      </c>
      <c r="E284" s="48" t="n">
        <f aca="false">$E$298-(1*$J$298)</f>
        <v>26.774</v>
      </c>
      <c r="F284" s="48" t="n">
        <v>66</v>
      </c>
      <c r="G284" s="48" t="n">
        <f aca="false">E284</f>
        <v>26.774</v>
      </c>
    </row>
    <row r="285" customFormat="false" ht="15" hidden="false" customHeight="false" outlineLevel="0" collapsed="false">
      <c r="A285" s="115"/>
      <c r="B285" s="4" t="s">
        <v>353</v>
      </c>
      <c r="C285" s="90" t="n">
        <f aca="false">S285+((T285/2)-($T$1/2))</f>
        <v>0</v>
      </c>
      <c r="D285" s="122" t="n">
        <f aca="false">$D$298-(3*$I$298)</f>
        <v>46.9</v>
      </c>
      <c r="E285" s="48" t="n">
        <f aca="false">$E$298-(1*$J$298)</f>
        <v>26.774</v>
      </c>
      <c r="F285" s="48" t="n">
        <v>66</v>
      </c>
      <c r="G285" s="48" t="n">
        <f aca="false">E285</f>
        <v>26.774</v>
      </c>
    </row>
    <row r="286" customFormat="false" ht="15" hidden="false" customHeight="false" outlineLevel="0" collapsed="false">
      <c r="A286" s="115"/>
      <c r="B286" s="4" t="s">
        <v>354</v>
      </c>
      <c r="C286" s="90" t="n">
        <f aca="false">S286+((T286/2)-($T$1/2))</f>
        <v>0</v>
      </c>
      <c r="D286" s="122" t="n">
        <f aca="false">$D$298-(2*$I$298)</f>
        <v>46.9</v>
      </c>
      <c r="E286" s="48" t="n">
        <f aca="false">$E$298-(1*$J$298)</f>
        <v>26.774</v>
      </c>
      <c r="F286" s="48" t="n">
        <v>66</v>
      </c>
      <c r="G286" s="48" t="n">
        <f aca="false">E286</f>
        <v>26.774</v>
      </c>
    </row>
    <row r="287" customFormat="false" ht="15" hidden="false" customHeight="false" outlineLevel="0" collapsed="false">
      <c r="B287" s="4" t="s">
        <v>355</v>
      </c>
      <c r="C287" s="90" t="n">
        <f aca="false">S287+((T287/2)-($T$1/2))</f>
        <v>0</v>
      </c>
      <c r="D287" s="122" t="n">
        <f aca="false">$D$298-(1*$I$298)</f>
        <v>46.9</v>
      </c>
      <c r="E287" s="48" t="n">
        <f aca="false">$E$298-(1*$J$298)</f>
        <v>26.774</v>
      </c>
      <c r="F287" s="48" t="n">
        <v>66</v>
      </c>
      <c r="G287" s="48" t="n">
        <f aca="false">E287</f>
        <v>26.774</v>
      </c>
    </row>
    <row r="288" customFormat="false" ht="15" hidden="false" customHeight="false" outlineLevel="0" collapsed="false">
      <c r="A288" s="115"/>
      <c r="B288" s="4" t="s">
        <v>356</v>
      </c>
      <c r="C288" s="90" t="n">
        <f aca="false">S288+((T288/2)-($T$1/2))</f>
        <v>0</v>
      </c>
      <c r="D288" s="122" t="n">
        <f aca="false">$D$298</f>
        <v>46.9</v>
      </c>
      <c r="E288" s="48" t="n">
        <f aca="false">$E$298-(1*$J$298)</f>
        <v>26.774</v>
      </c>
      <c r="F288" s="48" t="n">
        <v>66</v>
      </c>
      <c r="G288" s="48" t="n">
        <f aca="false">E288</f>
        <v>26.774</v>
      </c>
    </row>
    <row r="289" customFormat="false" ht="15" hidden="false" customHeight="false" outlineLevel="0" collapsed="false">
      <c r="A289" s="115"/>
      <c r="B289" s="4" t="s">
        <v>357</v>
      </c>
      <c r="C289" s="90" t="n">
        <f aca="false">S289+((T289/2)-($T$1/2))</f>
        <v>0</v>
      </c>
      <c r="D289" s="122" t="n">
        <f aca="false">$D$298+(1*$I$298)</f>
        <v>46.9</v>
      </c>
      <c r="E289" s="48" t="n">
        <f aca="false">$E$298-(1*$J$298)</f>
        <v>26.774</v>
      </c>
      <c r="F289" s="48" t="n">
        <v>66</v>
      </c>
      <c r="G289" s="48" t="n">
        <f aca="false">E289</f>
        <v>26.774</v>
      </c>
    </row>
    <row r="290" customFormat="false" ht="15" hidden="false" customHeight="false" outlineLevel="0" collapsed="false">
      <c r="A290" s="115"/>
      <c r="B290" s="4" t="s">
        <v>358</v>
      </c>
      <c r="C290" s="90" t="n">
        <f aca="false">S290+((T290/2)-($T$1/2))</f>
        <v>0</v>
      </c>
      <c r="D290" s="122" t="n">
        <f aca="false">$D$298+(2*$I$298)</f>
        <v>46.9</v>
      </c>
      <c r="E290" s="48" t="n">
        <f aca="false">$E$298-(1*$J$298)</f>
        <v>26.774</v>
      </c>
      <c r="F290" s="48" t="n">
        <v>66</v>
      </c>
      <c r="G290" s="48" t="n">
        <f aca="false">E290</f>
        <v>26.774</v>
      </c>
    </row>
    <row r="291" customFormat="false" ht="15" hidden="false" customHeight="false" outlineLevel="0" collapsed="false">
      <c r="A291" s="115"/>
      <c r="B291" s="4" t="s">
        <v>359</v>
      </c>
      <c r="C291" s="90" t="n">
        <f aca="false">S291+((T291/2)-($T$1/2))</f>
        <v>0</v>
      </c>
      <c r="D291" s="122" t="n">
        <f aca="false">$D$298+(3*$I$298)</f>
        <v>46.9</v>
      </c>
      <c r="E291" s="48" t="n">
        <f aca="false">$E$298-(1*$J$298)</f>
        <v>26.774</v>
      </c>
      <c r="F291" s="48" t="n">
        <v>66</v>
      </c>
      <c r="G291" s="48" t="n">
        <f aca="false">E291</f>
        <v>26.774</v>
      </c>
    </row>
    <row r="292" customFormat="false" ht="15" hidden="false" customHeight="false" outlineLevel="0" collapsed="false">
      <c r="A292" s="115"/>
      <c r="B292" s="4" t="s">
        <v>360</v>
      </c>
      <c r="C292" s="90" t="n">
        <f aca="false">S292+((T292/2)-($T$1/2))</f>
        <v>0</v>
      </c>
      <c r="D292" s="122" t="n">
        <f aca="false">$D$298+(4*$I$298)</f>
        <v>46.9</v>
      </c>
      <c r="E292" s="48" t="n">
        <f aca="false">$E$298-(1*$J$298)</f>
        <v>26.774</v>
      </c>
      <c r="F292" s="48" t="n">
        <v>66</v>
      </c>
      <c r="G292" s="48" t="n">
        <f aca="false">E292</f>
        <v>26.774</v>
      </c>
    </row>
    <row r="293" customFormat="false" ht="15" hidden="false" customHeight="false" outlineLevel="0" collapsed="false">
      <c r="B293" s="4" t="s">
        <v>361</v>
      </c>
      <c r="C293" s="90" t="n">
        <f aca="false">S293+((T293/2)-($T$1/2))</f>
        <v>0</v>
      </c>
      <c r="D293" s="122" t="n">
        <f aca="false">$D$298+(5*$I$298)</f>
        <v>46.9</v>
      </c>
      <c r="E293" s="48" t="n">
        <f aca="false">$E$298-(1*$J$298)</f>
        <v>26.774</v>
      </c>
      <c r="F293" s="48" t="n">
        <v>66</v>
      </c>
      <c r="G293" s="48" t="n">
        <f aca="false">E293</f>
        <v>26.774</v>
      </c>
    </row>
    <row r="294" customFormat="false" ht="15" hidden="false" customHeight="false" outlineLevel="0" collapsed="false">
      <c r="A294" s="115"/>
      <c r="B294" s="4" t="s">
        <v>362</v>
      </c>
      <c r="C294" s="90" t="n">
        <f aca="false">S294+((T294/2)-($T$1/2))</f>
        <v>0</v>
      </c>
      <c r="D294" s="122" t="n">
        <f aca="false">$D$298-(4*$I$298)</f>
        <v>46.9</v>
      </c>
      <c r="E294" s="48" t="n">
        <f aca="false">$E$298</f>
        <v>26.774</v>
      </c>
      <c r="F294" s="123" t="n">
        <v>66</v>
      </c>
      <c r="G294" s="48" t="n">
        <f aca="false">E294</f>
        <v>26.774</v>
      </c>
    </row>
    <row r="295" customFormat="false" ht="15" hidden="false" customHeight="false" outlineLevel="0" collapsed="false">
      <c r="A295" s="115"/>
      <c r="B295" s="119" t="s">
        <v>363</v>
      </c>
      <c r="C295" s="90" t="n">
        <f aca="false">S295+((T295/2)-($T$1/2))</f>
        <v>0</v>
      </c>
      <c r="D295" s="122" t="n">
        <f aca="false">$D$298-(3*$I$298)</f>
        <v>46.9</v>
      </c>
      <c r="E295" s="48" t="n">
        <f aca="false">$E$298</f>
        <v>26.774</v>
      </c>
      <c r="F295" s="123" t="n">
        <v>66</v>
      </c>
      <c r="G295" s="48" t="n">
        <f aca="false">E295</f>
        <v>26.774</v>
      </c>
    </row>
    <row r="296" customFormat="false" ht="15" hidden="false" customHeight="false" outlineLevel="0" collapsed="false">
      <c r="A296" s="115"/>
      <c r="B296" s="119" t="s">
        <v>364</v>
      </c>
      <c r="C296" s="90" t="n">
        <f aca="false">S296+((T296/2)-($T$1/2))</f>
        <v>0</v>
      </c>
      <c r="D296" s="122" t="n">
        <f aca="false">$D$298-(2*$I$298)</f>
        <v>46.9</v>
      </c>
      <c r="E296" s="48" t="n">
        <f aca="false">$E$298</f>
        <v>26.774</v>
      </c>
      <c r="F296" s="123" t="n">
        <v>66</v>
      </c>
      <c r="G296" s="48" t="n">
        <f aca="false">E296</f>
        <v>26.774</v>
      </c>
    </row>
    <row r="297" customFormat="false" ht="15" hidden="false" customHeight="false" outlineLevel="0" collapsed="false">
      <c r="A297" s="115"/>
      <c r="B297" s="119" t="s">
        <v>365</v>
      </c>
      <c r="C297" s="90" t="n">
        <f aca="false">S297+((T297/2)-($T$1/2))</f>
        <v>0</v>
      </c>
      <c r="D297" s="122" t="n">
        <f aca="false">$D$298-(1*$I$298)</f>
        <v>46.9</v>
      </c>
      <c r="E297" s="48" t="n">
        <f aca="false">$E$298</f>
        <v>26.774</v>
      </c>
      <c r="F297" s="123" t="n">
        <v>66</v>
      </c>
      <c r="G297" s="48" t="n">
        <f aca="false">E297</f>
        <v>26.774</v>
      </c>
    </row>
    <row r="298" customFormat="false" ht="15" hidden="false" customHeight="false" outlineLevel="0" collapsed="false">
      <c r="A298" s="124"/>
      <c r="B298" s="125" t="s">
        <v>366</v>
      </c>
      <c r="C298" s="126" t="n">
        <f aca="false">S298+((T298/2)-($T$1/2))</f>
        <v>0</v>
      </c>
      <c r="D298" s="127" t="n">
        <v>46.9</v>
      </c>
      <c r="E298" s="128" t="n">
        <f aca="false">-2+28.774</f>
        <v>26.774</v>
      </c>
      <c r="F298" s="123" t="n">
        <v>66</v>
      </c>
      <c r="G298" s="48" t="n">
        <f aca="false">E298</f>
        <v>26.774</v>
      </c>
    </row>
    <row r="299" customFormat="false" ht="15" hidden="false" customHeight="false" outlineLevel="0" collapsed="false">
      <c r="B299" s="119" t="s">
        <v>367</v>
      </c>
      <c r="C299" s="90" t="n">
        <f aca="false">S299+((T299/2)-($T$1/2))</f>
        <v>0</v>
      </c>
      <c r="D299" s="122" t="n">
        <f aca="false">$D$298+(1*$I$298)</f>
        <v>46.9</v>
      </c>
      <c r="E299" s="48" t="n">
        <f aca="false">$E$298</f>
        <v>26.774</v>
      </c>
      <c r="F299" s="123" t="n">
        <v>66</v>
      </c>
      <c r="G299" s="48" t="n">
        <f aca="false">E299</f>
        <v>26.774</v>
      </c>
    </row>
    <row r="300" customFormat="false" ht="15" hidden="false" customHeight="false" outlineLevel="0" collapsed="false">
      <c r="B300" s="119" t="s">
        <v>368</v>
      </c>
      <c r="C300" s="90" t="n">
        <f aca="false">S300+((T300/2)-($T$1/2))</f>
        <v>0</v>
      </c>
      <c r="D300" s="122" t="n">
        <f aca="false">$D$298+(2*$I$298)</f>
        <v>46.9</v>
      </c>
      <c r="E300" s="48" t="n">
        <f aca="false">$E$298</f>
        <v>26.774</v>
      </c>
      <c r="F300" s="123" t="n">
        <v>66</v>
      </c>
      <c r="G300" s="48" t="n">
        <f aca="false">E300</f>
        <v>26.774</v>
      </c>
    </row>
    <row r="301" customFormat="false" ht="15" hidden="false" customHeight="false" outlineLevel="0" collapsed="false">
      <c r="B301" s="4" t="s">
        <v>369</v>
      </c>
      <c r="C301" s="90" t="n">
        <f aca="false">S301+((T301/2)-($T$1/2))</f>
        <v>0</v>
      </c>
      <c r="D301" s="122" t="n">
        <f aca="false">$D$298+(3*$I$298)</f>
        <v>46.9</v>
      </c>
      <c r="E301" s="48" t="n">
        <f aca="false">$E$298</f>
        <v>26.774</v>
      </c>
      <c r="F301" s="123" t="n">
        <v>66</v>
      </c>
      <c r="G301" s="48" t="n">
        <f aca="false">E301</f>
        <v>26.774</v>
      </c>
    </row>
    <row r="302" customFormat="false" ht="15" hidden="false" customHeight="false" outlineLevel="0" collapsed="false">
      <c r="B302" s="4" t="s">
        <v>370</v>
      </c>
      <c r="C302" s="90" t="n">
        <f aca="false">S302+((T302/2)-($T$1/2))</f>
        <v>0</v>
      </c>
      <c r="D302" s="122" t="n">
        <f aca="false">$D$298+(4*$I$298)</f>
        <v>46.9</v>
      </c>
      <c r="E302" s="48" t="n">
        <f aca="false">$E$298</f>
        <v>26.774</v>
      </c>
      <c r="F302" s="123" t="n">
        <v>66</v>
      </c>
      <c r="G302" s="48" t="n">
        <f aca="false">E302</f>
        <v>26.774</v>
      </c>
    </row>
    <row r="303" customFormat="false" ht="15" hidden="false" customHeight="false" outlineLevel="0" collapsed="false">
      <c r="B303" s="4" t="s">
        <v>371</v>
      </c>
      <c r="C303" s="90" t="n">
        <f aca="false">S303+((T303/2)-($T$1/2))</f>
        <v>0</v>
      </c>
      <c r="D303" s="122" t="n">
        <f aca="false">$D$298+(5*$I$298)</f>
        <v>46.9</v>
      </c>
      <c r="E303" s="48" t="n">
        <f aca="false">$E$298</f>
        <v>26.774</v>
      </c>
      <c r="F303" s="123" t="n">
        <v>66</v>
      </c>
      <c r="G303" s="48" t="n">
        <f aca="false">E303</f>
        <v>26.774</v>
      </c>
    </row>
    <row r="304" customFormat="false" ht="15" hidden="false" customHeight="false" outlineLevel="0" collapsed="false">
      <c r="B304" s="4" t="s">
        <v>372</v>
      </c>
      <c r="C304" s="90" t="n">
        <f aca="false">S304+((T304/2)-($T$1/2))</f>
        <v>0</v>
      </c>
      <c r="D304" s="122" t="n">
        <f aca="false">$D$298-(4*$I$298)</f>
        <v>46.9</v>
      </c>
      <c r="E304" s="129" t="n">
        <f aca="false">$E$298+(1*$J$298)</f>
        <v>26.774</v>
      </c>
      <c r="F304" s="48" t="n">
        <v>66</v>
      </c>
      <c r="G304" s="48" t="n">
        <f aca="false">E304</f>
        <v>26.774</v>
      </c>
    </row>
    <row r="305" customFormat="false" ht="15" hidden="false" customHeight="false" outlineLevel="0" collapsed="false">
      <c r="B305" s="4" t="s">
        <v>373</v>
      </c>
      <c r="C305" s="90" t="n">
        <f aca="false">S305+((T305/2)-($T$1/2))</f>
        <v>0</v>
      </c>
      <c r="D305" s="122" t="n">
        <f aca="false">$D$298-(3*$I$298)</f>
        <v>46.9</v>
      </c>
      <c r="E305" s="129" t="n">
        <f aca="false">$E$298+(1*$J$298)</f>
        <v>26.774</v>
      </c>
      <c r="F305" s="48" t="n">
        <v>66</v>
      </c>
      <c r="G305" s="48" t="n">
        <f aca="false">E305</f>
        <v>26.774</v>
      </c>
    </row>
    <row r="306" customFormat="false" ht="15" hidden="false" customHeight="false" outlineLevel="0" collapsed="false">
      <c r="B306" s="4" t="s">
        <v>374</v>
      </c>
      <c r="C306" s="90" t="n">
        <f aca="false">S306+((T306/2)-($T$1/2))</f>
        <v>0</v>
      </c>
      <c r="D306" s="122" t="n">
        <f aca="false">$D$298-(2*$I$298)</f>
        <v>46.9</v>
      </c>
      <c r="E306" s="129" t="n">
        <f aca="false">$E$298+(1*$J$298)</f>
        <v>26.774</v>
      </c>
      <c r="F306" s="48" t="n">
        <v>66</v>
      </c>
      <c r="G306" s="48" t="n">
        <f aca="false">E306</f>
        <v>26.774</v>
      </c>
    </row>
    <row r="307" customFormat="false" ht="15" hidden="false" customHeight="false" outlineLevel="0" collapsed="false">
      <c r="A307" s="115"/>
      <c r="B307" s="4" t="s">
        <v>375</v>
      </c>
      <c r="C307" s="90" t="n">
        <f aca="false">S307+((T307/2)-($T$1/2))</f>
        <v>0</v>
      </c>
      <c r="D307" s="122" t="n">
        <f aca="false">$D$298-(1*$I$298)</f>
        <v>46.9</v>
      </c>
      <c r="E307" s="129" t="n">
        <f aca="false">$E$298+(1*$J$298)</f>
        <v>26.774</v>
      </c>
      <c r="F307" s="48" t="n">
        <v>66</v>
      </c>
      <c r="G307" s="48" t="n">
        <f aca="false">E307</f>
        <v>26.774</v>
      </c>
    </row>
    <row r="308" customFormat="false" ht="15" hidden="false" customHeight="false" outlineLevel="0" collapsed="false">
      <c r="A308" s="115"/>
      <c r="B308" s="4" t="s">
        <v>376</v>
      </c>
      <c r="C308" s="90" t="n">
        <f aca="false">S308+((T308/2)-($T$1/2))</f>
        <v>0</v>
      </c>
      <c r="D308" s="122" t="n">
        <f aca="false">$D$298</f>
        <v>46.9</v>
      </c>
      <c r="E308" s="129" t="n">
        <f aca="false">$E$298+(1*$J$298)</f>
        <v>26.774</v>
      </c>
      <c r="F308" s="48" t="n">
        <v>66</v>
      </c>
      <c r="G308" s="48" t="n">
        <f aca="false">E308</f>
        <v>26.774</v>
      </c>
    </row>
    <row r="309" customFormat="false" ht="15" hidden="false" customHeight="false" outlineLevel="0" collapsed="false">
      <c r="A309" s="115"/>
      <c r="B309" s="4" t="s">
        <v>377</v>
      </c>
      <c r="C309" s="90" t="n">
        <f aca="false">S309+((T309/2)-($T$1/2))</f>
        <v>0</v>
      </c>
      <c r="D309" s="122" t="n">
        <f aca="false">$D$298+(1*$I$298)</f>
        <v>46.9</v>
      </c>
      <c r="E309" s="129" t="n">
        <f aca="false">$E$298+(1*$J$298)</f>
        <v>26.774</v>
      </c>
      <c r="F309" s="48" t="n">
        <v>66</v>
      </c>
      <c r="G309" s="48" t="n">
        <f aca="false">E309</f>
        <v>26.774</v>
      </c>
    </row>
    <row r="310" customFormat="false" ht="15" hidden="false" customHeight="false" outlineLevel="0" collapsed="false">
      <c r="A310" s="115"/>
      <c r="B310" s="4" t="s">
        <v>378</v>
      </c>
      <c r="C310" s="90" t="n">
        <f aca="false">S310+((T310/2)-($T$1/2))</f>
        <v>0</v>
      </c>
      <c r="D310" s="122" t="n">
        <f aca="false">$D$298+(2*$I$298)</f>
        <v>46.9</v>
      </c>
      <c r="E310" s="129" t="n">
        <f aca="false">$E$298+(1*$J$298)</f>
        <v>26.774</v>
      </c>
      <c r="F310" s="48" t="n">
        <v>66</v>
      </c>
      <c r="G310" s="48" t="n">
        <f aca="false">E310</f>
        <v>26.774</v>
      </c>
    </row>
    <row r="311" customFormat="false" ht="15" hidden="false" customHeight="false" outlineLevel="0" collapsed="false">
      <c r="A311" s="115"/>
      <c r="B311" s="4" t="s">
        <v>379</v>
      </c>
      <c r="C311" s="90" t="n">
        <f aca="false">S311+((T311/2)-($T$1/2))</f>
        <v>0</v>
      </c>
      <c r="D311" s="122" t="n">
        <f aca="false">$D$298+(3*$I$298)</f>
        <v>46.9</v>
      </c>
      <c r="E311" s="129" t="n">
        <f aca="false">$E$298+(1*$J$298)</f>
        <v>26.774</v>
      </c>
      <c r="F311" s="48" t="n">
        <v>66</v>
      </c>
      <c r="G311" s="48" t="n">
        <f aca="false">E311</f>
        <v>26.774</v>
      </c>
    </row>
    <row r="312" customFormat="false" ht="15" hidden="false" customHeight="false" outlineLevel="0" collapsed="false">
      <c r="B312" s="4" t="s">
        <v>380</v>
      </c>
      <c r="C312" s="90" t="n">
        <f aca="false">S312+((T312/2)-($T$1/2))</f>
        <v>0</v>
      </c>
      <c r="D312" s="122" t="n">
        <f aca="false">$D$298+(4*$I$298)</f>
        <v>46.9</v>
      </c>
      <c r="E312" s="129" t="n">
        <f aca="false">$E$298+(1*$J$298)</f>
        <v>26.774</v>
      </c>
      <c r="F312" s="48" t="n">
        <v>66</v>
      </c>
      <c r="G312" s="48" t="n">
        <f aca="false">E312</f>
        <v>26.774</v>
      </c>
    </row>
    <row r="313" customFormat="false" ht="15" hidden="false" customHeight="false" outlineLevel="0" collapsed="false">
      <c r="A313" s="115"/>
      <c r="B313" s="4" t="s">
        <v>381</v>
      </c>
      <c r="C313" s="90" t="n">
        <f aca="false">S313+((T313/2)-($T$1/2))</f>
        <v>0</v>
      </c>
      <c r="D313" s="122" t="n">
        <f aca="false">$D$298+(5*$I$298)</f>
        <v>46.9</v>
      </c>
      <c r="E313" s="129" t="n">
        <f aca="false">$E$298+(1*$J$298)</f>
        <v>26.774</v>
      </c>
      <c r="F313" s="48" t="n">
        <v>66</v>
      </c>
      <c r="G313" s="48" t="n">
        <f aca="false">E313</f>
        <v>26.774</v>
      </c>
    </row>
    <row r="314" customFormat="false" ht="15" hidden="false" customHeight="false" outlineLevel="0" collapsed="false">
      <c r="A314" s="115"/>
      <c r="B314" s="4" t="s">
        <v>382</v>
      </c>
      <c r="C314" s="90" t="n">
        <f aca="false">S314+((T314/2)-($T$1/2))</f>
        <v>0</v>
      </c>
      <c r="D314" s="122" t="n">
        <f aca="false">$D$298-(4*$I$298)</f>
        <v>46.9</v>
      </c>
      <c r="E314" s="129" t="n">
        <f aca="false">$E$298+(2*$J$298)</f>
        <v>26.774</v>
      </c>
      <c r="F314" s="48" t="n">
        <v>66</v>
      </c>
      <c r="G314" s="48" t="n">
        <f aca="false">E314</f>
        <v>26.774</v>
      </c>
    </row>
    <row r="315" customFormat="false" ht="15" hidden="false" customHeight="false" outlineLevel="0" collapsed="false">
      <c r="A315" s="115"/>
      <c r="B315" s="4" t="s">
        <v>383</v>
      </c>
      <c r="C315" s="90" t="n">
        <f aca="false">S315+((T315/2)-($T$1/2))</f>
        <v>0</v>
      </c>
      <c r="D315" s="122" t="n">
        <f aca="false">$D$298-(3*$I$298)</f>
        <v>46.9</v>
      </c>
      <c r="E315" s="129" t="n">
        <f aca="false">$E$298+(2*$J$298)</f>
        <v>26.774</v>
      </c>
      <c r="F315" s="48" t="n">
        <v>66</v>
      </c>
      <c r="G315" s="48" t="n">
        <f aca="false">E315</f>
        <v>26.774</v>
      </c>
    </row>
    <row r="316" customFormat="false" ht="15" hidden="false" customHeight="false" outlineLevel="0" collapsed="false">
      <c r="A316" s="115"/>
      <c r="B316" s="4" t="s">
        <v>384</v>
      </c>
      <c r="C316" s="90" t="n">
        <f aca="false">S316+((T316/2)-($T$1/2))</f>
        <v>0</v>
      </c>
      <c r="D316" s="122" t="n">
        <f aca="false">$D$298-(2*$I$298)</f>
        <v>46.9</v>
      </c>
      <c r="E316" s="129" t="n">
        <f aca="false">$E$298+(2*$J$298)</f>
        <v>26.774</v>
      </c>
      <c r="F316" s="48" t="n">
        <v>66</v>
      </c>
      <c r="G316" s="48" t="n">
        <f aca="false">E316</f>
        <v>26.774</v>
      </c>
    </row>
    <row r="317" customFormat="false" ht="15" hidden="false" customHeight="false" outlineLevel="0" collapsed="false">
      <c r="A317" s="115"/>
      <c r="B317" s="4" t="s">
        <v>385</v>
      </c>
      <c r="C317" s="90" t="n">
        <f aca="false">S317+((T317/2)-($T$1/2))</f>
        <v>0</v>
      </c>
      <c r="D317" s="122" t="n">
        <f aca="false">$D$298-(1*$I$298)</f>
        <v>46.9</v>
      </c>
      <c r="E317" s="129" t="n">
        <f aca="false">$E$298+(2*$J$298)</f>
        <v>26.774</v>
      </c>
      <c r="F317" s="48" t="n">
        <v>66</v>
      </c>
      <c r="G317" s="48" t="n">
        <f aca="false">E317</f>
        <v>26.774</v>
      </c>
    </row>
    <row r="318" customFormat="false" ht="15" hidden="false" customHeight="false" outlineLevel="0" collapsed="false">
      <c r="B318" s="4" t="s">
        <v>386</v>
      </c>
      <c r="C318" s="90" t="n">
        <f aca="false">S318+((T318/2)-($T$1/2))</f>
        <v>0</v>
      </c>
      <c r="D318" s="122" t="n">
        <f aca="false">$D$298</f>
        <v>46.9</v>
      </c>
      <c r="E318" s="129" t="n">
        <f aca="false">$E$298+(2*$J$298)</f>
        <v>26.774</v>
      </c>
      <c r="F318" s="48" t="n">
        <v>66</v>
      </c>
      <c r="G318" s="48" t="n">
        <f aca="false">E318</f>
        <v>26.774</v>
      </c>
    </row>
    <row r="319" customFormat="false" ht="15" hidden="false" customHeight="false" outlineLevel="0" collapsed="false">
      <c r="A319" s="115"/>
      <c r="B319" s="4" t="s">
        <v>387</v>
      </c>
      <c r="C319" s="90" t="n">
        <f aca="false">S319+((T319/2)-($T$1/2))</f>
        <v>0</v>
      </c>
      <c r="D319" s="122" t="n">
        <f aca="false">$D$298+(1*$I$298)</f>
        <v>46.9</v>
      </c>
      <c r="E319" s="129" t="n">
        <f aca="false">$E$298+(2*$J$298)</f>
        <v>26.774</v>
      </c>
      <c r="F319" s="48" t="n">
        <v>66</v>
      </c>
      <c r="G319" s="48" t="n">
        <f aca="false">E319</f>
        <v>26.774</v>
      </c>
    </row>
    <row r="320" customFormat="false" ht="15" hidden="false" customHeight="false" outlineLevel="0" collapsed="false">
      <c r="A320" s="115"/>
      <c r="B320" s="4" t="s">
        <v>388</v>
      </c>
      <c r="C320" s="90" t="n">
        <f aca="false">S320+((T320/2)-($T$1/2))</f>
        <v>0</v>
      </c>
      <c r="D320" s="122" t="n">
        <f aca="false">$D$298+(2*$I$298)</f>
        <v>46.9</v>
      </c>
      <c r="E320" s="129" t="n">
        <f aca="false">$E$298+(2*$J$298)</f>
        <v>26.774</v>
      </c>
      <c r="F320" s="48" t="n">
        <v>66</v>
      </c>
      <c r="G320" s="48" t="n">
        <f aca="false">E320</f>
        <v>26.774</v>
      </c>
    </row>
    <row r="321" customFormat="false" ht="15" hidden="false" customHeight="false" outlineLevel="0" collapsed="false">
      <c r="A321" s="115"/>
      <c r="B321" s="4" t="s">
        <v>389</v>
      </c>
      <c r="C321" s="90" t="n">
        <f aca="false">S321+((T321/2)-($T$1/2))</f>
        <v>0</v>
      </c>
      <c r="D321" s="122" t="n">
        <f aca="false">$D$298+(3*$I$298)</f>
        <v>46.9</v>
      </c>
      <c r="E321" s="129" t="n">
        <f aca="false">$E$298+(2*$J$298)</f>
        <v>26.774</v>
      </c>
      <c r="F321" s="48" t="n">
        <v>66</v>
      </c>
      <c r="G321" s="48" t="n">
        <f aca="false">E321</f>
        <v>26.774</v>
      </c>
    </row>
    <row r="322" customFormat="false" ht="15" hidden="false" customHeight="false" outlineLevel="0" collapsed="false">
      <c r="A322" s="115"/>
      <c r="B322" s="4" t="s">
        <v>390</v>
      </c>
      <c r="C322" s="90" t="n">
        <f aca="false">S322+((T322/2)-($T$1/2))</f>
        <v>0</v>
      </c>
      <c r="D322" s="122" t="n">
        <f aca="false">$D$298+(4*$I$298)</f>
        <v>46.9</v>
      </c>
      <c r="E322" s="129" t="n">
        <f aca="false">$E$298+(2*$J$298)</f>
        <v>26.774</v>
      </c>
      <c r="F322" s="48" t="n">
        <v>66</v>
      </c>
      <c r="G322" s="48" t="n">
        <f aca="false">E322</f>
        <v>26.774</v>
      </c>
    </row>
    <row r="323" customFormat="false" ht="15" hidden="false" customHeight="false" outlineLevel="0" collapsed="false">
      <c r="A323" s="115"/>
      <c r="B323" s="4" t="s">
        <v>391</v>
      </c>
      <c r="C323" s="90" t="n">
        <f aca="false">S323+((T323/2)-($T$1/2))</f>
        <v>0</v>
      </c>
      <c r="D323" s="122" t="n">
        <f aca="false">$D$298+(5*$I$298)</f>
        <v>46.9</v>
      </c>
      <c r="E323" s="129" t="n">
        <f aca="false">$E$298+(2*$J$298)</f>
        <v>26.774</v>
      </c>
      <c r="F323" s="48" t="n">
        <v>66</v>
      </c>
      <c r="G323" s="48" t="n">
        <f aca="false">E323</f>
        <v>26.774</v>
      </c>
    </row>
    <row r="324" customFormat="false" ht="15" hidden="false" customHeight="false" outlineLevel="0" collapsed="false">
      <c r="B324" s="4" t="s">
        <v>392</v>
      </c>
      <c r="C324" s="90" t="n">
        <f aca="false">S324+((T324/2)-($T$1/2))</f>
        <v>0</v>
      </c>
      <c r="D324" s="122" t="n">
        <f aca="false">$D$298-(4*$I$298)</f>
        <v>46.9</v>
      </c>
      <c r="E324" s="129" t="n">
        <f aca="false">$E$298+(3*$J$298)</f>
        <v>26.774</v>
      </c>
      <c r="F324" s="48" t="n">
        <v>66</v>
      </c>
      <c r="G324" s="48" t="n">
        <f aca="false">E324</f>
        <v>26.774</v>
      </c>
    </row>
    <row r="325" customFormat="false" ht="15" hidden="false" customHeight="false" outlineLevel="0" collapsed="false">
      <c r="B325" s="4" t="s">
        <v>393</v>
      </c>
      <c r="C325" s="90" t="n">
        <f aca="false">S325+((T325/2)-($T$1/2))</f>
        <v>0</v>
      </c>
      <c r="D325" s="122" t="n">
        <f aca="false">$D$298-(3*$I$298)</f>
        <v>46.9</v>
      </c>
      <c r="E325" s="129" t="n">
        <f aca="false">$E$298+(3*$J$298)</f>
        <v>26.774</v>
      </c>
      <c r="F325" s="48" t="n">
        <v>66</v>
      </c>
      <c r="G325" s="48" t="n">
        <f aca="false">E325</f>
        <v>26.774</v>
      </c>
    </row>
    <row r="326" customFormat="false" ht="15" hidden="false" customHeight="false" outlineLevel="0" collapsed="false">
      <c r="B326" s="4" t="s">
        <v>394</v>
      </c>
      <c r="C326" s="90" t="n">
        <f aca="false">S326+((T326/2)-($T$1/2))</f>
        <v>0</v>
      </c>
      <c r="D326" s="122" t="n">
        <f aca="false">$D$298-(2*$I$298)</f>
        <v>46.9</v>
      </c>
      <c r="E326" s="129" t="n">
        <f aca="false">$E$298+(3*$J$298)</f>
        <v>26.774</v>
      </c>
      <c r="F326" s="48" t="n">
        <v>66</v>
      </c>
      <c r="G326" s="48" t="n">
        <f aca="false">E326</f>
        <v>26.774</v>
      </c>
    </row>
    <row r="327" customFormat="false" ht="15" hidden="false" customHeight="false" outlineLevel="0" collapsed="false">
      <c r="B327" s="4" t="s">
        <v>395</v>
      </c>
      <c r="C327" s="90" t="n">
        <f aca="false">S327+((T327/2)-($T$1/2))</f>
        <v>0</v>
      </c>
      <c r="D327" s="122" t="n">
        <f aca="false">$D$298-(1*$I$298)</f>
        <v>46.9</v>
      </c>
      <c r="E327" s="129" t="n">
        <f aca="false">$E$298+(3*$J$298)</f>
        <v>26.774</v>
      </c>
      <c r="F327" s="48" t="n">
        <v>66</v>
      </c>
      <c r="G327" s="48" t="n">
        <f aca="false">E327</f>
        <v>26.774</v>
      </c>
    </row>
    <row r="328" customFormat="false" ht="15" hidden="false" customHeight="false" outlineLevel="0" collapsed="false">
      <c r="B328" s="4" t="s">
        <v>396</v>
      </c>
      <c r="C328" s="90" t="n">
        <f aca="false">S328+((T328/2)-($T$1/2))</f>
        <v>0</v>
      </c>
      <c r="D328" s="122" t="n">
        <f aca="false">$D$298</f>
        <v>46.9</v>
      </c>
      <c r="E328" s="129" t="n">
        <f aca="false">$E$298+(3*$J$298)</f>
        <v>26.774</v>
      </c>
      <c r="F328" s="48" t="n">
        <v>66</v>
      </c>
      <c r="G328" s="48" t="n">
        <f aca="false">E328</f>
        <v>26.774</v>
      </c>
    </row>
    <row r="329" customFormat="false" ht="15" hidden="false" customHeight="false" outlineLevel="0" collapsed="false">
      <c r="B329" s="4" t="s">
        <v>397</v>
      </c>
      <c r="C329" s="90" t="n">
        <f aca="false">S329+((T329/2)-($T$1/2))</f>
        <v>0</v>
      </c>
      <c r="D329" s="122" t="n">
        <f aca="false">$D$298+(1*$I$298)</f>
        <v>46.9</v>
      </c>
      <c r="E329" s="129" t="n">
        <f aca="false">$E$298+(3*$J$298)</f>
        <v>26.774</v>
      </c>
      <c r="F329" s="48" t="n">
        <v>66</v>
      </c>
      <c r="G329" s="48" t="n">
        <f aca="false">E329</f>
        <v>26.774</v>
      </c>
    </row>
    <row r="330" customFormat="false" ht="15" hidden="false" customHeight="false" outlineLevel="0" collapsed="false">
      <c r="B330" s="4" t="s">
        <v>398</v>
      </c>
      <c r="C330" s="90" t="n">
        <f aca="false">S330+((T330/2)-($T$1/2))</f>
        <v>0</v>
      </c>
      <c r="D330" s="122" t="n">
        <f aca="false">$D$298+(2*$I$298)</f>
        <v>46.9</v>
      </c>
      <c r="E330" s="129" t="n">
        <f aca="false">$E$298+(3*$J$298)</f>
        <v>26.774</v>
      </c>
      <c r="F330" s="48" t="n">
        <v>66</v>
      </c>
      <c r="G330" s="48" t="n">
        <f aca="false">E330</f>
        <v>26.774</v>
      </c>
    </row>
    <row r="331" customFormat="false" ht="15" hidden="false" customHeight="false" outlineLevel="0" collapsed="false">
      <c r="B331" s="4" t="s">
        <v>399</v>
      </c>
      <c r="C331" s="90" t="n">
        <f aca="false">S331+((T331/2)-($T$1/2))</f>
        <v>0</v>
      </c>
      <c r="D331" s="122" t="n">
        <f aca="false">$D$298+(3*$I$298)</f>
        <v>46.9</v>
      </c>
      <c r="E331" s="129" t="n">
        <f aca="false">$E$298+(3*$J$298)</f>
        <v>26.774</v>
      </c>
      <c r="F331" s="48" t="n">
        <v>66</v>
      </c>
      <c r="G331" s="48" t="n">
        <f aca="false">E331</f>
        <v>26.774</v>
      </c>
    </row>
    <row r="332" customFormat="false" ht="15" hidden="false" customHeight="false" outlineLevel="0" collapsed="false">
      <c r="B332" s="4" t="s">
        <v>400</v>
      </c>
      <c r="C332" s="90" t="n">
        <f aca="false">S332+((T332/2)-($T$1/2))</f>
        <v>0</v>
      </c>
      <c r="D332" s="122" t="n">
        <f aca="false">$D$298+(4*$I$298)</f>
        <v>46.9</v>
      </c>
      <c r="E332" s="129" t="n">
        <f aca="false">$E$298+(3*$J$298)</f>
        <v>26.774</v>
      </c>
      <c r="F332" s="48" t="n">
        <v>66</v>
      </c>
      <c r="G332" s="48" t="n">
        <f aca="false">E332</f>
        <v>26.774</v>
      </c>
    </row>
    <row r="333" customFormat="false" ht="15" hidden="false" customHeight="false" outlineLevel="0" collapsed="false">
      <c r="A333" s="115"/>
      <c r="B333" s="4" t="s">
        <v>401</v>
      </c>
      <c r="C333" s="90" t="n">
        <f aca="false">S333+((T333/2)-($T$1/2))</f>
        <v>0</v>
      </c>
      <c r="D333" s="122" t="n">
        <f aca="false">$D$298+(5*$I$298)</f>
        <v>46.9</v>
      </c>
      <c r="E333" s="129" t="n">
        <f aca="false">$E$298+(3*$J$298)</f>
        <v>26.774</v>
      </c>
      <c r="F333" s="48" t="n">
        <v>66</v>
      </c>
      <c r="G333" s="48" t="n">
        <f aca="false">E333</f>
        <v>26.774</v>
      </c>
    </row>
    <row r="334" customFormat="false" ht="15" hidden="false" customHeight="false" outlineLevel="0" collapsed="false">
      <c r="A334" s="115"/>
      <c r="B334" s="4" t="s">
        <v>402</v>
      </c>
      <c r="C334" s="90" t="n">
        <f aca="false">S334+((T334/2)-($T$1/2))</f>
        <v>0</v>
      </c>
      <c r="D334" s="122" t="n">
        <f aca="false">$D$298-(4*$I$298)</f>
        <v>46.9</v>
      </c>
      <c r="E334" s="129" t="n">
        <f aca="false">$E$298+(4*$J$298)</f>
        <v>26.774</v>
      </c>
      <c r="F334" s="48" t="n">
        <v>66</v>
      </c>
      <c r="G334" s="48" t="n">
        <f aca="false">E334</f>
        <v>26.774</v>
      </c>
    </row>
    <row r="335" customFormat="false" ht="15" hidden="false" customHeight="false" outlineLevel="0" collapsed="false">
      <c r="A335" s="115"/>
      <c r="B335" s="4" t="s">
        <v>403</v>
      </c>
      <c r="C335" s="90" t="n">
        <f aca="false">S335+((T335/2)-($T$1/2))</f>
        <v>0</v>
      </c>
      <c r="D335" s="122" t="n">
        <f aca="false">$D$298-(3*$I$298)</f>
        <v>46.9</v>
      </c>
      <c r="E335" s="129" t="n">
        <f aca="false">$E$298+(4*$J$298)</f>
        <v>26.774</v>
      </c>
      <c r="F335" s="48" t="n">
        <v>66</v>
      </c>
      <c r="G335" s="48" t="n">
        <f aca="false">E335</f>
        <v>26.774</v>
      </c>
    </row>
    <row r="336" customFormat="false" ht="15" hidden="false" customHeight="false" outlineLevel="0" collapsed="false">
      <c r="A336" s="115"/>
      <c r="B336" s="4" t="s">
        <v>404</v>
      </c>
      <c r="C336" s="90" t="n">
        <f aca="false">S336+((T336/2)-($T$1/2))</f>
        <v>0</v>
      </c>
      <c r="D336" s="122" t="n">
        <f aca="false">$D$298-(2*$I$298)</f>
        <v>46.9</v>
      </c>
      <c r="E336" s="129" t="n">
        <f aca="false">$E$298+(4*$J$298)</f>
        <v>26.774</v>
      </c>
      <c r="F336" s="48" t="n">
        <v>66</v>
      </c>
      <c r="G336" s="48" t="n">
        <f aca="false">E336</f>
        <v>26.774</v>
      </c>
    </row>
    <row r="337" customFormat="false" ht="15" hidden="false" customHeight="false" outlineLevel="0" collapsed="false">
      <c r="A337" s="115"/>
      <c r="B337" s="4" t="s">
        <v>405</v>
      </c>
      <c r="C337" s="90" t="n">
        <f aca="false">S337+((T337/2)-($T$1/2))</f>
        <v>0</v>
      </c>
      <c r="D337" s="122" t="n">
        <f aca="false">$D$298-(1*$I$298)</f>
        <v>46.9</v>
      </c>
      <c r="E337" s="129" t="n">
        <f aca="false">$E$298+(4*$J$298)</f>
        <v>26.774</v>
      </c>
      <c r="F337" s="48" t="n">
        <v>66</v>
      </c>
      <c r="G337" s="48" t="n">
        <f aca="false">E337</f>
        <v>26.774</v>
      </c>
    </row>
    <row r="338" customFormat="false" ht="15" hidden="false" customHeight="false" outlineLevel="0" collapsed="false">
      <c r="B338" s="4" t="s">
        <v>406</v>
      </c>
      <c r="C338" s="90" t="n">
        <f aca="false">S338+((T338/2)-($T$1/2))</f>
        <v>0</v>
      </c>
      <c r="D338" s="122" t="n">
        <f aca="false">$D$298</f>
        <v>46.9</v>
      </c>
      <c r="E338" s="129" t="n">
        <f aca="false">$E$298+(4*$J$298)</f>
        <v>26.774</v>
      </c>
      <c r="F338" s="48" t="n">
        <v>66</v>
      </c>
      <c r="G338" s="48" t="n">
        <f aca="false">E338</f>
        <v>26.774</v>
      </c>
    </row>
    <row r="339" customFormat="false" ht="15" hidden="false" customHeight="false" outlineLevel="0" collapsed="false">
      <c r="A339" s="115"/>
      <c r="B339" s="4" t="s">
        <v>407</v>
      </c>
      <c r="C339" s="90" t="n">
        <f aca="false">S339+((T339/2)-($T$1/2))</f>
        <v>0</v>
      </c>
      <c r="D339" s="122" t="n">
        <f aca="false">$D$298+(1*$I$298)</f>
        <v>46.9</v>
      </c>
      <c r="E339" s="129" t="n">
        <f aca="false">$E$298+(4*$J$298)</f>
        <v>26.774</v>
      </c>
      <c r="F339" s="48" t="n">
        <v>66</v>
      </c>
      <c r="G339" s="48" t="n">
        <f aca="false">E339</f>
        <v>26.774</v>
      </c>
    </row>
    <row r="340" customFormat="false" ht="15" hidden="false" customHeight="false" outlineLevel="0" collapsed="false">
      <c r="A340" s="115"/>
      <c r="B340" s="4" t="s">
        <v>408</v>
      </c>
      <c r="C340" s="90" t="n">
        <f aca="false">S340+((T340/2)-($T$1/2))</f>
        <v>0</v>
      </c>
      <c r="D340" s="122" t="n">
        <f aca="false">$D$298+(2*$I$298)</f>
        <v>46.9</v>
      </c>
      <c r="E340" s="129" t="n">
        <f aca="false">$E$298+(4*$J$298)</f>
        <v>26.774</v>
      </c>
      <c r="F340" s="48" t="n">
        <v>66</v>
      </c>
      <c r="G340" s="48" t="n">
        <f aca="false">E340</f>
        <v>26.774</v>
      </c>
    </row>
    <row r="341" customFormat="false" ht="15" hidden="false" customHeight="false" outlineLevel="0" collapsed="false">
      <c r="A341" s="115"/>
      <c r="B341" s="4" t="s">
        <v>409</v>
      </c>
      <c r="C341" s="90" t="n">
        <f aca="false">S341+((T341/2)-($T$1/2))</f>
        <v>0</v>
      </c>
      <c r="D341" s="122" t="n">
        <f aca="false">$D$298+(3*$I$298)</f>
        <v>46.9</v>
      </c>
      <c r="E341" s="129" t="n">
        <f aca="false">$E$298+(4*$J$298)</f>
        <v>26.774</v>
      </c>
      <c r="F341" s="48" t="n">
        <v>66</v>
      </c>
      <c r="G341" s="48" t="n">
        <f aca="false">E341</f>
        <v>26.774</v>
      </c>
    </row>
    <row r="342" customFormat="false" ht="15" hidden="false" customHeight="false" outlineLevel="0" collapsed="false">
      <c r="A342" s="115"/>
      <c r="B342" s="4" t="s">
        <v>410</v>
      </c>
      <c r="C342" s="90" t="n">
        <f aca="false">S342+((T342/2)-($T$1/2))</f>
        <v>0</v>
      </c>
      <c r="D342" s="122" t="n">
        <f aca="false">$D$298+(4*$I$298)</f>
        <v>46.9</v>
      </c>
      <c r="E342" s="129" t="n">
        <f aca="false">$E$298+(4*$J$298)</f>
        <v>26.774</v>
      </c>
      <c r="F342" s="48" t="n">
        <v>66</v>
      </c>
      <c r="G342" s="48" t="n">
        <f aca="false">E342</f>
        <v>26.774</v>
      </c>
    </row>
    <row r="343" customFormat="false" ht="15" hidden="false" customHeight="false" outlineLevel="0" collapsed="false">
      <c r="A343" s="115"/>
      <c r="B343" s="4" t="s">
        <v>411</v>
      </c>
      <c r="C343" s="90" t="n">
        <f aca="false">S343+((T343/2)-($T$1/2))</f>
        <v>0</v>
      </c>
      <c r="D343" s="122" t="n">
        <f aca="false">$D$298+(5*$I$298)</f>
        <v>46.9</v>
      </c>
      <c r="E343" s="129" t="n">
        <f aca="false">$E$298+(4*$J$298)</f>
        <v>26.774</v>
      </c>
      <c r="F343" s="48" t="n">
        <v>66</v>
      </c>
      <c r="G343" s="48" t="n">
        <f aca="false">E343</f>
        <v>26.774</v>
      </c>
    </row>
    <row r="344" customFormat="false" ht="15" hidden="false" customHeight="false" outlineLevel="0" collapsed="false">
      <c r="B344" s="4" t="s">
        <v>412</v>
      </c>
      <c r="C344" s="90" t="n">
        <f aca="false">S344+((T344/2)-($T$1/2))</f>
        <v>0</v>
      </c>
      <c r="D344" s="122" t="n">
        <f aca="false">$D$298-(4*$I$298)</f>
        <v>46.9</v>
      </c>
      <c r="E344" s="129" t="n">
        <f aca="false">$E$298+(5*$J$298)</f>
        <v>26.774</v>
      </c>
      <c r="F344" s="48" t="n">
        <v>66</v>
      </c>
      <c r="G344" s="48" t="n">
        <f aca="false">E344</f>
        <v>26.774</v>
      </c>
    </row>
    <row r="345" customFormat="false" ht="15" hidden="false" customHeight="false" outlineLevel="0" collapsed="false">
      <c r="A345" s="115"/>
      <c r="B345" s="4" t="s">
        <v>413</v>
      </c>
      <c r="C345" s="90" t="n">
        <f aca="false">S345+((T345/2)-($T$1/2))</f>
        <v>0</v>
      </c>
      <c r="D345" s="122" t="n">
        <f aca="false">$D$298-(3*$I$298)</f>
        <v>46.9</v>
      </c>
      <c r="E345" s="129" t="n">
        <f aca="false">$E$298+(5*$J$298)</f>
        <v>26.774</v>
      </c>
      <c r="F345" s="48" t="n">
        <v>66</v>
      </c>
      <c r="G345" s="48" t="n">
        <f aca="false">E345</f>
        <v>26.774</v>
      </c>
    </row>
    <row r="346" customFormat="false" ht="15" hidden="false" customHeight="false" outlineLevel="0" collapsed="false">
      <c r="A346" s="115"/>
      <c r="B346" s="4" t="s">
        <v>414</v>
      </c>
      <c r="C346" s="90" t="n">
        <f aca="false">S346+((T346/2)-($T$1/2))</f>
        <v>0</v>
      </c>
      <c r="D346" s="122" t="n">
        <f aca="false">$D$298-(2*$I$298)</f>
        <v>46.9</v>
      </c>
      <c r="E346" s="129" t="n">
        <f aca="false">$E$298+(5*$J$298)</f>
        <v>26.774</v>
      </c>
      <c r="F346" s="48" t="n">
        <v>66</v>
      </c>
      <c r="G346" s="48" t="n">
        <f aca="false">E346</f>
        <v>26.774</v>
      </c>
    </row>
    <row r="347" customFormat="false" ht="15" hidden="false" customHeight="false" outlineLevel="0" collapsed="false">
      <c r="A347" s="115"/>
      <c r="B347" s="4" t="s">
        <v>415</v>
      </c>
      <c r="C347" s="90" t="n">
        <f aca="false">S347+((T347/2)-($T$1/2))</f>
        <v>0</v>
      </c>
      <c r="D347" s="122" t="n">
        <f aca="false">$D$298-(1*$I$298)</f>
        <v>46.9</v>
      </c>
      <c r="E347" s="129" t="n">
        <f aca="false">$E$298+(5*$J$298)</f>
        <v>26.774</v>
      </c>
      <c r="F347" s="48" t="n">
        <v>66</v>
      </c>
      <c r="G347" s="48" t="n">
        <f aca="false">E347</f>
        <v>26.774</v>
      </c>
    </row>
    <row r="348" customFormat="false" ht="15" hidden="false" customHeight="false" outlineLevel="0" collapsed="false">
      <c r="A348" s="115"/>
      <c r="B348" s="4" t="s">
        <v>416</v>
      </c>
      <c r="C348" s="90" t="n">
        <f aca="false">S348+((T348/2)-($T$1/2))</f>
        <v>0</v>
      </c>
      <c r="D348" s="122" t="n">
        <f aca="false">$D$298</f>
        <v>46.9</v>
      </c>
      <c r="E348" s="129" t="n">
        <f aca="false">$E$298+(5*$J$298)</f>
        <v>26.774</v>
      </c>
      <c r="F348" s="48" t="n">
        <v>66</v>
      </c>
      <c r="G348" s="48" t="n">
        <f aca="false">E348</f>
        <v>26.774</v>
      </c>
    </row>
    <row r="349" customFormat="false" ht="15" hidden="false" customHeight="false" outlineLevel="0" collapsed="false">
      <c r="A349" s="115"/>
      <c r="B349" s="4" t="s">
        <v>417</v>
      </c>
      <c r="C349" s="90" t="n">
        <f aca="false">S349+((T349/2)-($T$1/2))</f>
        <v>0</v>
      </c>
      <c r="D349" s="122" t="n">
        <f aca="false">$D$298+(1*$I$298)</f>
        <v>46.9</v>
      </c>
      <c r="E349" s="129" t="n">
        <f aca="false">$E$298+(5*$J$298)</f>
        <v>26.774</v>
      </c>
      <c r="F349" s="48" t="n">
        <v>66</v>
      </c>
      <c r="G349" s="48" t="n">
        <f aca="false">E349</f>
        <v>26.774</v>
      </c>
    </row>
    <row r="350" customFormat="false" ht="15" hidden="false" customHeight="false" outlineLevel="0" collapsed="false">
      <c r="B350" s="4" t="s">
        <v>418</v>
      </c>
      <c r="C350" s="90" t="n">
        <f aca="false">S350+((T350/2)-($T$1/2))</f>
        <v>0</v>
      </c>
      <c r="D350" s="122" t="n">
        <f aca="false">$D$298+(2*$I$298)</f>
        <v>46.9</v>
      </c>
      <c r="E350" s="129" t="n">
        <f aca="false">$E$298+(5*$J$298)</f>
        <v>26.774</v>
      </c>
      <c r="F350" s="48" t="n">
        <v>66</v>
      </c>
      <c r="G350" s="48" t="n">
        <f aca="false">E350</f>
        <v>26.774</v>
      </c>
    </row>
    <row r="351" customFormat="false" ht="15" hidden="false" customHeight="false" outlineLevel="0" collapsed="false">
      <c r="B351" s="4" t="s">
        <v>419</v>
      </c>
      <c r="C351" s="90" t="n">
        <f aca="false">S351+((T351/2)-($T$1/2))</f>
        <v>0</v>
      </c>
      <c r="D351" s="122" t="n">
        <f aca="false">$D$298+(3*$I$298)</f>
        <v>46.9</v>
      </c>
      <c r="E351" s="129" t="n">
        <f aca="false">$E$298+(5*$J$298)</f>
        <v>26.774</v>
      </c>
      <c r="F351" s="48" t="n">
        <v>66</v>
      </c>
      <c r="G351" s="48" t="n">
        <f aca="false">E351</f>
        <v>26.774</v>
      </c>
    </row>
    <row r="352" customFormat="false" ht="15" hidden="false" customHeight="false" outlineLevel="0" collapsed="false">
      <c r="B352" s="4" t="s">
        <v>420</v>
      </c>
      <c r="C352" s="90" t="n">
        <f aca="false">S352+((T352/2)-($T$1/2))</f>
        <v>0</v>
      </c>
      <c r="D352" s="122" t="n">
        <f aca="false">$D$298+(4*$I$298)</f>
        <v>46.9</v>
      </c>
      <c r="E352" s="129" t="n">
        <f aca="false">$E$298+(5*$J$298)</f>
        <v>26.774</v>
      </c>
      <c r="F352" s="48" t="n">
        <v>66</v>
      </c>
      <c r="G352" s="48" t="n">
        <f aca="false">E352</f>
        <v>26.774</v>
      </c>
    </row>
    <row r="353" customFormat="false" ht="15" hidden="false" customHeight="false" outlineLevel="0" collapsed="false">
      <c r="B353" s="4" t="s">
        <v>421</v>
      </c>
      <c r="C353" s="90" t="n">
        <f aca="false">S353+((T353/2)-($T$1/2))</f>
        <v>0</v>
      </c>
      <c r="D353" s="122" t="n">
        <f aca="false">$D$298+(5*$I$298)</f>
        <v>46.9</v>
      </c>
      <c r="E353" s="129" t="n">
        <f aca="false">$E$298+(5*$J$298)</f>
        <v>26.774</v>
      </c>
      <c r="F353" s="48" t="n">
        <v>66</v>
      </c>
      <c r="G353" s="48" t="n">
        <f aca="false">E353</f>
        <v>26.774</v>
      </c>
    </row>
    <row r="354" customFormat="false" ht="15" hidden="false" customHeight="false" outlineLevel="0" collapsed="false">
      <c r="B354" s="130" t="s">
        <v>422</v>
      </c>
      <c r="C354" s="48" t="n">
        <v>18.990539353629</v>
      </c>
      <c r="D354" s="48" t="n">
        <v>66</v>
      </c>
      <c r="E354" s="48" t="n">
        <v>55.206</v>
      </c>
      <c r="F354" s="48" t="n">
        <v>66</v>
      </c>
      <c r="G354" s="48" t="n">
        <f aca="false">E354</f>
        <v>55.206</v>
      </c>
    </row>
    <row r="355" customFormat="false" ht="15" hidden="false" customHeight="false" outlineLevel="0" collapsed="false">
      <c r="B355" s="130"/>
    </row>
    <row r="356" customFormat="false" ht="15" hidden="false" customHeight="false" outlineLevel="0" collapsed="false">
      <c r="B356" s="4" t="s">
        <v>423</v>
      </c>
      <c r="C356" s="90" t="n">
        <f aca="false">S356+((T356/2)-($T$1/2))</f>
        <v>0</v>
      </c>
      <c r="D356" s="122" t="n">
        <f aca="false">$D$400-(4*$I$400)</f>
        <v>5.6</v>
      </c>
      <c r="E356" s="48" t="n">
        <f aca="false">$E$400-(4*$J$400)</f>
        <v>27.174</v>
      </c>
      <c r="F356" s="48" t="n">
        <v>-54</v>
      </c>
      <c r="G356" s="48" t="n">
        <f aca="false">E356</f>
        <v>27.174</v>
      </c>
    </row>
    <row r="357" customFormat="false" ht="15" hidden="false" customHeight="false" outlineLevel="0" collapsed="false">
      <c r="B357" s="4" t="s">
        <v>424</v>
      </c>
      <c r="C357" s="90" t="n">
        <f aca="false">S357+((T357/2)-($T$1/2))</f>
        <v>0</v>
      </c>
      <c r="D357" s="122" t="n">
        <f aca="false">$D$400-(3*$I$400)</f>
        <v>5.6</v>
      </c>
      <c r="E357" s="48" t="n">
        <f aca="false">$E$400-(4*$J$400)</f>
        <v>27.174</v>
      </c>
      <c r="F357" s="48" t="n">
        <v>-54</v>
      </c>
      <c r="G357" s="48" t="n">
        <f aca="false">E357</f>
        <v>27.174</v>
      </c>
    </row>
    <row r="358" customFormat="false" ht="15" hidden="false" customHeight="false" outlineLevel="0" collapsed="false">
      <c r="B358" s="4" t="s">
        <v>425</v>
      </c>
      <c r="C358" s="90" t="n">
        <f aca="false">S358+((T358/2)-($T$1/2))</f>
        <v>0</v>
      </c>
      <c r="D358" s="122" t="n">
        <f aca="false">$D$400-(2*$I$400)</f>
        <v>5.6</v>
      </c>
      <c r="E358" s="48" t="n">
        <f aca="false">$E$400-(4*$J$400)</f>
        <v>27.174</v>
      </c>
      <c r="F358" s="48" t="n">
        <v>-54</v>
      </c>
      <c r="G358" s="48" t="n">
        <f aca="false">E358</f>
        <v>27.174</v>
      </c>
    </row>
    <row r="359" customFormat="false" ht="15" hidden="false" customHeight="false" outlineLevel="0" collapsed="false">
      <c r="A359" s="115"/>
      <c r="B359" s="4" t="s">
        <v>426</v>
      </c>
      <c r="C359" s="90" t="n">
        <f aca="false">S359+((T359/2)-($T$1/2))</f>
        <v>0</v>
      </c>
      <c r="D359" s="122" t="n">
        <f aca="false">$D$400-(1*$I$400)</f>
        <v>5.6</v>
      </c>
      <c r="E359" s="48" t="n">
        <f aca="false">$E$400-(4*$J$400)</f>
        <v>27.174</v>
      </c>
      <c r="F359" s="48" t="n">
        <v>-54</v>
      </c>
      <c r="G359" s="48" t="n">
        <f aca="false">E359</f>
        <v>27.174</v>
      </c>
    </row>
    <row r="360" customFormat="false" ht="15" hidden="false" customHeight="false" outlineLevel="0" collapsed="false">
      <c r="A360" s="115"/>
      <c r="B360" s="4" t="s">
        <v>427</v>
      </c>
      <c r="C360" s="90" t="n">
        <f aca="false">S360+((T360/2)-($T$1/2))</f>
        <v>0</v>
      </c>
      <c r="D360" s="122" t="n">
        <f aca="false">$D$400</f>
        <v>5.6</v>
      </c>
      <c r="E360" s="48" t="n">
        <f aca="false">$E$400-(4*$J$400)</f>
        <v>27.174</v>
      </c>
      <c r="F360" s="48" t="n">
        <v>-54</v>
      </c>
      <c r="G360" s="48" t="n">
        <f aca="false">E360</f>
        <v>27.174</v>
      </c>
    </row>
    <row r="361" customFormat="false" ht="15" hidden="false" customHeight="false" outlineLevel="0" collapsed="false">
      <c r="A361" s="115"/>
      <c r="B361" s="4" t="s">
        <v>428</v>
      </c>
      <c r="C361" s="90" t="n">
        <f aca="false">S361+((T361/2)-($T$1/2))</f>
        <v>0</v>
      </c>
      <c r="D361" s="122" t="n">
        <f aca="false">$D$400+(1*$I$400)</f>
        <v>5.6</v>
      </c>
      <c r="E361" s="48" t="n">
        <f aca="false">$E$400-(4*$J$400)</f>
        <v>27.174</v>
      </c>
      <c r="F361" s="48" t="n">
        <v>-54</v>
      </c>
      <c r="G361" s="48" t="n">
        <f aca="false">E361</f>
        <v>27.174</v>
      </c>
    </row>
    <row r="362" customFormat="false" ht="15" hidden="false" customHeight="false" outlineLevel="0" collapsed="false">
      <c r="A362" s="115"/>
      <c r="B362" s="4" t="s">
        <v>429</v>
      </c>
      <c r="C362" s="90" t="n">
        <f aca="false">S362+((T362/2)-($T$1/2))</f>
        <v>0</v>
      </c>
      <c r="D362" s="122" t="n">
        <f aca="false">$D$400+(2*$I$400)</f>
        <v>5.6</v>
      </c>
      <c r="E362" s="48" t="n">
        <f aca="false">$E$400-(4*$J$400)</f>
        <v>27.174</v>
      </c>
      <c r="F362" s="48" t="n">
        <v>-54</v>
      </c>
      <c r="G362" s="48" t="n">
        <f aca="false">E362</f>
        <v>27.174</v>
      </c>
    </row>
    <row r="363" customFormat="false" ht="15" hidden="false" customHeight="false" outlineLevel="0" collapsed="false">
      <c r="A363" s="115"/>
      <c r="B363" s="4" t="s">
        <v>430</v>
      </c>
      <c r="C363" s="90" t="n">
        <f aca="false">S363+((T363/2)-($T$1/2))</f>
        <v>0</v>
      </c>
      <c r="D363" s="122" t="n">
        <f aca="false">$D$400+(3*$I$400)</f>
        <v>5.6</v>
      </c>
      <c r="E363" s="48" t="n">
        <f aca="false">$E$400-(4*$J$400)</f>
        <v>27.174</v>
      </c>
      <c r="F363" s="48" t="n">
        <v>-54</v>
      </c>
      <c r="G363" s="48" t="n">
        <f aca="false">E363</f>
        <v>27.174</v>
      </c>
    </row>
    <row r="364" customFormat="false" ht="15" hidden="false" customHeight="false" outlineLevel="0" collapsed="false">
      <c r="B364" s="4" t="s">
        <v>431</v>
      </c>
      <c r="C364" s="90" t="n">
        <f aca="false">S364+((T364/2)-($T$1/2))</f>
        <v>0</v>
      </c>
      <c r="D364" s="122" t="n">
        <f aca="false">$D$400+(4*$I$400)</f>
        <v>5.6</v>
      </c>
      <c r="E364" s="48" t="n">
        <f aca="false">$E$400-(4*$J$400)</f>
        <v>27.174</v>
      </c>
      <c r="F364" s="48" t="n">
        <v>-54</v>
      </c>
      <c r="G364" s="48" t="n">
        <f aca="false">E364</f>
        <v>27.174</v>
      </c>
    </row>
    <row r="365" customFormat="false" ht="15" hidden="false" customHeight="false" outlineLevel="0" collapsed="false">
      <c r="A365" s="115"/>
      <c r="B365" s="4" t="s">
        <v>432</v>
      </c>
      <c r="C365" s="90" t="n">
        <f aca="false">S365+((T365/2)-($T$1/2))</f>
        <v>0</v>
      </c>
      <c r="D365" s="122" t="n">
        <f aca="false">$D$400+(5*$I$400)</f>
        <v>5.6</v>
      </c>
      <c r="E365" s="48" t="n">
        <f aca="false">$E$400-(4*$J$400)</f>
        <v>27.174</v>
      </c>
      <c r="F365" s="48" t="n">
        <v>-54</v>
      </c>
      <c r="G365" s="48" t="n">
        <f aca="false">E365</f>
        <v>27.174</v>
      </c>
    </row>
    <row r="366" customFormat="false" ht="15" hidden="false" customHeight="false" outlineLevel="0" collapsed="false">
      <c r="A366" s="115"/>
      <c r="B366" s="4" t="s">
        <v>433</v>
      </c>
      <c r="C366" s="90" t="n">
        <f aca="false">S366+((T366/2)-($T$1/2))</f>
        <v>0</v>
      </c>
      <c r="D366" s="122" t="n">
        <f aca="false">$D$400-(4*$I$400)</f>
        <v>5.6</v>
      </c>
      <c r="E366" s="48" t="n">
        <f aca="false">$E$400-(3*$J$400)</f>
        <v>27.174</v>
      </c>
      <c r="F366" s="48" t="n">
        <v>-54</v>
      </c>
      <c r="G366" s="48" t="n">
        <f aca="false">E366</f>
        <v>27.174</v>
      </c>
    </row>
    <row r="367" customFormat="false" ht="15" hidden="false" customHeight="false" outlineLevel="0" collapsed="false">
      <c r="A367" s="115"/>
      <c r="B367" s="4" t="s">
        <v>434</v>
      </c>
      <c r="C367" s="90" t="n">
        <f aca="false">S367+((T367/2)-($T$1/2))</f>
        <v>0</v>
      </c>
      <c r="D367" s="122" t="n">
        <f aca="false">$D$400-(3*$I$400)</f>
        <v>5.6</v>
      </c>
      <c r="E367" s="48" t="n">
        <f aca="false">$E$400-(3*$J$400)</f>
        <v>27.174</v>
      </c>
      <c r="F367" s="48" t="n">
        <v>-54</v>
      </c>
      <c r="G367" s="48" t="n">
        <f aca="false">E367</f>
        <v>27.174</v>
      </c>
    </row>
    <row r="368" customFormat="false" ht="15" hidden="false" customHeight="false" outlineLevel="0" collapsed="false">
      <c r="A368" s="115"/>
      <c r="B368" s="4" t="s">
        <v>435</v>
      </c>
      <c r="C368" s="90" t="n">
        <f aca="false">S368+((T368/2)-($T$1/2))</f>
        <v>0</v>
      </c>
      <c r="D368" s="122" t="n">
        <f aca="false">$D$400-(2*$I$400)</f>
        <v>5.6</v>
      </c>
      <c r="E368" s="48" t="n">
        <f aca="false">$E$400-(3*$J$400)</f>
        <v>27.174</v>
      </c>
      <c r="F368" s="48" t="n">
        <v>-54</v>
      </c>
      <c r="G368" s="48" t="n">
        <f aca="false">E368</f>
        <v>27.174</v>
      </c>
    </row>
    <row r="369" customFormat="false" ht="15" hidden="false" customHeight="false" outlineLevel="0" collapsed="false">
      <c r="A369" s="115"/>
      <c r="B369" s="4" t="s">
        <v>436</v>
      </c>
      <c r="C369" s="90" t="n">
        <f aca="false">S369+((T369/2)-($T$1/2))</f>
        <v>0</v>
      </c>
      <c r="D369" s="122" t="n">
        <f aca="false">$D$400-(1*$I$400)</f>
        <v>5.6</v>
      </c>
      <c r="E369" s="48" t="n">
        <f aca="false">$E$400-(3*$J$400)</f>
        <v>27.174</v>
      </c>
      <c r="F369" s="48" t="n">
        <v>-54</v>
      </c>
      <c r="G369" s="48" t="n">
        <f aca="false">E369</f>
        <v>27.174</v>
      </c>
    </row>
    <row r="370" customFormat="false" ht="15" hidden="false" customHeight="false" outlineLevel="0" collapsed="false">
      <c r="B370" s="4" t="s">
        <v>437</v>
      </c>
      <c r="C370" s="90" t="n">
        <f aca="false">S370+((T370/2)-($T$1/2))</f>
        <v>0</v>
      </c>
      <c r="D370" s="122" t="n">
        <f aca="false">$D$400</f>
        <v>5.6</v>
      </c>
      <c r="E370" s="48" t="n">
        <f aca="false">$E$400-(3*$J$400)</f>
        <v>27.174</v>
      </c>
      <c r="F370" s="48" t="n">
        <v>-54</v>
      </c>
      <c r="G370" s="48" t="n">
        <f aca="false">E370</f>
        <v>27.174</v>
      </c>
    </row>
    <row r="371" customFormat="false" ht="15" hidden="false" customHeight="false" outlineLevel="0" collapsed="false">
      <c r="A371" s="115"/>
      <c r="B371" s="4" t="s">
        <v>438</v>
      </c>
      <c r="C371" s="90" t="n">
        <f aca="false">S371+((T371/2)-($T$1/2))</f>
        <v>0</v>
      </c>
      <c r="D371" s="122" t="n">
        <f aca="false">$D$400+(1*$I$400)</f>
        <v>5.6</v>
      </c>
      <c r="E371" s="48" t="n">
        <f aca="false">$E$400-(3*$J$400)</f>
        <v>27.174</v>
      </c>
      <c r="F371" s="48" t="n">
        <v>-54</v>
      </c>
      <c r="G371" s="48" t="n">
        <f aca="false">E371</f>
        <v>27.174</v>
      </c>
    </row>
    <row r="372" customFormat="false" ht="15" hidden="false" customHeight="false" outlineLevel="0" collapsed="false">
      <c r="A372" s="115"/>
      <c r="B372" s="4" t="s">
        <v>439</v>
      </c>
      <c r="C372" s="90" t="n">
        <f aca="false">S372+((T372/2)-($T$1/2))</f>
        <v>0</v>
      </c>
      <c r="D372" s="122" t="n">
        <f aca="false">$D$400+(2*$I$400)</f>
        <v>5.6</v>
      </c>
      <c r="E372" s="48" t="n">
        <f aca="false">$E$400-(3*$J$400)</f>
        <v>27.174</v>
      </c>
      <c r="F372" s="48" t="n">
        <v>-54</v>
      </c>
      <c r="G372" s="48" t="n">
        <f aca="false">E372</f>
        <v>27.174</v>
      </c>
    </row>
    <row r="373" customFormat="false" ht="15" hidden="false" customHeight="false" outlineLevel="0" collapsed="false">
      <c r="A373" s="115"/>
      <c r="B373" s="4" t="s">
        <v>440</v>
      </c>
      <c r="C373" s="90" t="n">
        <f aca="false">S373+((T373/2)-($T$1/2))</f>
        <v>0</v>
      </c>
      <c r="D373" s="122" t="n">
        <f aca="false">$D$400+(3*$I$400)</f>
        <v>5.6</v>
      </c>
      <c r="E373" s="48" t="n">
        <f aca="false">$E$400-(3*$J$400)</f>
        <v>27.174</v>
      </c>
      <c r="F373" s="48" t="n">
        <v>-54</v>
      </c>
      <c r="G373" s="48" t="n">
        <f aca="false">E373</f>
        <v>27.174</v>
      </c>
    </row>
    <row r="374" customFormat="false" ht="15" hidden="false" customHeight="false" outlineLevel="0" collapsed="false">
      <c r="A374" s="115"/>
      <c r="B374" s="4" t="s">
        <v>441</v>
      </c>
      <c r="C374" s="90" t="n">
        <f aca="false">S374+((T374/2)-($T$1/2))</f>
        <v>0</v>
      </c>
      <c r="D374" s="122" t="n">
        <f aca="false">$D$400+(4*$I$400)</f>
        <v>5.6</v>
      </c>
      <c r="E374" s="48" t="n">
        <f aca="false">$E$400-(3*$J$400)</f>
        <v>27.174</v>
      </c>
      <c r="F374" s="48" t="n">
        <v>-54</v>
      </c>
      <c r="G374" s="48" t="n">
        <f aca="false">E374</f>
        <v>27.174</v>
      </c>
    </row>
    <row r="375" customFormat="false" ht="15" hidden="false" customHeight="false" outlineLevel="0" collapsed="false">
      <c r="A375" s="115"/>
      <c r="B375" s="4" t="s">
        <v>442</v>
      </c>
      <c r="C375" s="90" t="n">
        <f aca="false">S375+((T375/2)-($T$1/2))</f>
        <v>0</v>
      </c>
      <c r="D375" s="122" t="n">
        <f aca="false">$D$400+(5*$I$400)</f>
        <v>5.6</v>
      </c>
      <c r="E375" s="48" t="n">
        <f aca="false">$E$400-(3*$J$400)</f>
        <v>27.174</v>
      </c>
      <c r="F375" s="48" t="n">
        <v>-54</v>
      </c>
      <c r="G375" s="48" t="n">
        <f aca="false">E375</f>
        <v>27.174</v>
      </c>
    </row>
    <row r="376" customFormat="false" ht="15" hidden="false" customHeight="false" outlineLevel="0" collapsed="false">
      <c r="B376" s="4" t="s">
        <v>443</v>
      </c>
      <c r="C376" s="90" t="n">
        <f aca="false">S376+((T376/2)-($T$1/2))</f>
        <v>0</v>
      </c>
      <c r="D376" s="122" t="n">
        <f aca="false">$D$400-(4*$I$400)</f>
        <v>5.6</v>
      </c>
      <c r="E376" s="48" t="n">
        <f aca="false">$E$400-(2*$J$400)</f>
        <v>27.174</v>
      </c>
      <c r="F376" s="48" t="n">
        <v>-54</v>
      </c>
      <c r="G376" s="48" t="n">
        <f aca="false">E376</f>
        <v>27.174</v>
      </c>
    </row>
    <row r="377" customFormat="false" ht="15" hidden="false" customHeight="false" outlineLevel="0" collapsed="false">
      <c r="B377" s="4" t="s">
        <v>444</v>
      </c>
      <c r="C377" s="90" t="n">
        <f aca="false">S377+((T377/2)-($T$1/2))</f>
        <v>0</v>
      </c>
      <c r="D377" s="122" t="n">
        <f aca="false">$D$400-(3*$I$400)</f>
        <v>5.6</v>
      </c>
      <c r="E377" s="48" t="n">
        <f aca="false">$E$400-(2*$J$400)</f>
        <v>27.174</v>
      </c>
      <c r="F377" s="48" t="n">
        <v>-54</v>
      </c>
      <c r="G377" s="48" t="n">
        <f aca="false">E377</f>
        <v>27.174</v>
      </c>
    </row>
    <row r="378" customFormat="false" ht="15" hidden="false" customHeight="false" outlineLevel="0" collapsed="false">
      <c r="B378" s="4" t="s">
        <v>445</v>
      </c>
      <c r="C378" s="90" t="n">
        <f aca="false">S378+((T378/2)-($T$1/2))</f>
        <v>0</v>
      </c>
      <c r="D378" s="122" t="n">
        <f aca="false">$D$400-(2*$I$400)</f>
        <v>5.6</v>
      </c>
      <c r="E378" s="48" t="n">
        <f aca="false">$E$400-(2*$J$400)</f>
        <v>27.174</v>
      </c>
      <c r="F378" s="48" t="n">
        <v>-54</v>
      </c>
      <c r="G378" s="48" t="n">
        <f aca="false">E378</f>
        <v>27.174</v>
      </c>
    </row>
    <row r="379" customFormat="false" ht="15" hidden="false" customHeight="false" outlineLevel="0" collapsed="false">
      <c r="B379" s="4" t="s">
        <v>446</v>
      </c>
      <c r="C379" s="90" t="n">
        <f aca="false">S379+((T379/2)-($T$1/2))</f>
        <v>0</v>
      </c>
      <c r="D379" s="122" t="n">
        <f aca="false">$D$400-(1*$I$400)</f>
        <v>5.6</v>
      </c>
      <c r="E379" s="48" t="n">
        <f aca="false">$E$400-(2*$J$400)</f>
        <v>27.174</v>
      </c>
      <c r="F379" s="48" t="n">
        <v>-54</v>
      </c>
      <c r="G379" s="48" t="n">
        <f aca="false">E379</f>
        <v>27.174</v>
      </c>
    </row>
    <row r="380" customFormat="false" ht="15" hidden="false" customHeight="false" outlineLevel="0" collapsed="false">
      <c r="B380" s="4" t="s">
        <v>447</v>
      </c>
      <c r="C380" s="90" t="n">
        <f aca="false">S380+((T380/2)-($T$1/2))</f>
        <v>0</v>
      </c>
      <c r="D380" s="122" t="n">
        <f aca="false">$D$400</f>
        <v>5.6</v>
      </c>
      <c r="E380" s="48" t="n">
        <f aca="false">$E$400-(2*$J$400)</f>
        <v>27.174</v>
      </c>
      <c r="F380" s="48" t="n">
        <v>-54</v>
      </c>
      <c r="G380" s="48" t="n">
        <f aca="false">E380</f>
        <v>27.174</v>
      </c>
    </row>
    <row r="381" customFormat="false" ht="15" hidden="false" customHeight="false" outlineLevel="0" collapsed="false">
      <c r="B381" s="4" t="s">
        <v>448</v>
      </c>
      <c r="C381" s="90" t="n">
        <f aca="false">S381+((T381/2)-($T$1/2))</f>
        <v>0</v>
      </c>
      <c r="D381" s="122" t="n">
        <f aca="false">$D$400+(1*$I$400)</f>
        <v>5.6</v>
      </c>
      <c r="E381" s="48" t="n">
        <f aca="false">$E$400-(2*$J$400)</f>
        <v>27.174</v>
      </c>
      <c r="F381" s="48" t="n">
        <v>-54</v>
      </c>
      <c r="G381" s="48" t="n">
        <f aca="false">E381</f>
        <v>27.174</v>
      </c>
    </row>
    <row r="382" customFormat="false" ht="15" hidden="false" customHeight="false" outlineLevel="0" collapsed="false">
      <c r="B382" s="4" t="s">
        <v>449</v>
      </c>
      <c r="C382" s="90" t="n">
        <f aca="false">S382+((T382/2)-($T$1/2))</f>
        <v>0</v>
      </c>
      <c r="D382" s="122" t="n">
        <f aca="false">$D$400+(2*$I$400)</f>
        <v>5.6</v>
      </c>
      <c r="E382" s="48" t="n">
        <f aca="false">$E$400-(2*$J$400)</f>
        <v>27.174</v>
      </c>
      <c r="F382" s="48" t="n">
        <v>-54</v>
      </c>
      <c r="G382" s="48" t="n">
        <f aca="false">E382</f>
        <v>27.174</v>
      </c>
    </row>
    <row r="383" customFormat="false" ht="15" hidden="false" customHeight="false" outlineLevel="0" collapsed="false">
      <c r="B383" s="4" t="s">
        <v>450</v>
      </c>
      <c r="C383" s="90" t="n">
        <f aca="false">S383+((T383/2)-($T$1/2))</f>
        <v>0</v>
      </c>
      <c r="D383" s="122" t="n">
        <f aca="false">$D$400+(3*$I$400)</f>
        <v>5.6</v>
      </c>
      <c r="E383" s="48" t="n">
        <f aca="false">$E$400-(2*$J$400)</f>
        <v>27.174</v>
      </c>
      <c r="F383" s="48" t="n">
        <v>-54</v>
      </c>
      <c r="G383" s="48" t="n">
        <f aca="false">E383</f>
        <v>27.174</v>
      </c>
    </row>
    <row r="384" customFormat="false" ht="15" hidden="false" customHeight="false" outlineLevel="0" collapsed="false">
      <c r="A384" s="115"/>
      <c r="B384" s="4" t="s">
        <v>451</v>
      </c>
      <c r="C384" s="90" t="n">
        <f aca="false">S384+((T384/2)-($T$1/2))</f>
        <v>0</v>
      </c>
      <c r="D384" s="122" t="n">
        <f aca="false">$D$400+(4*$I$400)</f>
        <v>5.6</v>
      </c>
      <c r="E384" s="48" t="n">
        <f aca="false">$E$400-(2*$J$400)</f>
        <v>27.174</v>
      </c>
      <c r="F384" s="48" t="n">
        <v>-54</v>
      </c>
      <c r="G384" s="48" t="n">
        <f aca="false">E384</f>
        <v>27.174</v>
      </c>
    </row>
    <row r="385" customFormat="false" ht="15" hidden="false" customHeight="false" outlineLevel="0" collapsed="false">
      <c r="A385" s="115"/>
      <c r="B385" s="4" t="s">
        <v>452</v>
      </c>
      <c r="C385" s="90" t="n">
        <f aca="false">S385+((T385/2)-($T$1/2))</f>
        <v>0</v>
      </c>
      <c r="D385" s="122" t="n">
        <f aca="false">$D$400+(5*$I$400)</f>
        <v>5.6</v>
      </c>
      <c r="E385" s="48" t="n">
        <f aca="false">$E$400-(2*$J$400)</f>
        <v>27.174</v>
      </c>
      <c r="F385" s="48" t="n">
        <v>-54</v>
      </c>
      <c r="G385" s="48" t="n">
        <f aca="false">E385</f>
        <v>27.174</v>
      </c>
    </row>
    <row r="386" customFormat="false" ht="15" hidden="false" customHeight="false" outlineLevel="0" collapsed="false">
      <c r="A386" s="115"/>
      <c r="B386" s="4" t="s">
        <v>453</v>
      </c>
      <c r="C386" s="90" t="n">
        <f aca="false">S386+((T386/2)-($T$1/2))</f>
        <v>0</v>
      </c>
      <c r="D386" s="122" t="n">
        <f aca="false">$D$400-(4*$I$400)</f>
        <v>5.6</v>
      </c>
      <c r="E386" s="48" t="n">
        <f aca="false">$E$400-(1*$J$400)</f>
        <v>27.174</v>
      </c>
      <c r="F386" s="48" t="n">
        <v>-54</v>
      </c>
      <c r="G386" s="48" t="n">
        <f aca="false">E386</f>
        <v>27.174</v>
      </c>
    </row>
    <row r="387" customFormat="false" ht="15" hidden="false" customHeight="false" outlineLevel="0" collapsed="false">
      <c r="A387" s="115"/>
      <c r="B387" s="4" t="s">
        <v>454</v>
      </c>
      <c r="C387" s="90" t="n">
        <f aca="false">S387+((T387/2)-($T$1/2))</f>
        <v>0</v>
      </c>
      <c r="D387" s="122" t="n">
        <f aca="false">$D$400-(3*$I$400)</f>
        <v>5.6</v>
      </c>
      <c r="E387" s="48" t="n">
        <f aca="false">$E$400-(1*$J$400)</f>
        <v>27.174</v>
      </c>
      <c r="F387" s="48" t="n">
        <v>-54</v>
      </c>
      <c r="G387" s="48" t="n">
        <f aca="false">E387</f>
        <v>27.174</v>
      </c>
    </row>
    <row r="388" customFormat="false" ht="15" hidden="false" customHeight="false" outlineLevel="0" collapsed="false">
      <c r="A388" s="115"/>
      <c r="B388" s="4" t="s">
        <v>455</v>
      </c>
      <c r="C388" s="90" t="n">
        <f aca="false">S388+((T388/2)-($T$1/2))</f>
        <v>0</v>
      </c>
      <c r="D388" s="122" t="n">
        <f aca="false">$D$400-(2*$I$400)</f>
        <v>5.6</v>
      </c>
      <c r="E388" s="48" t="n">
        <f aca="false">$E$400-(1*$J$400)</f>
        <v>27.174</v>
      </c>
      <c r="F388" s="48" t="n">
        <v>-54</v>
      </c>
      <c r="G388" s="48" t="n">
        <f aca="false">E388</f>
        <v>27.174</v>
      </c>
    </row>
    <row r="389" customFormat="false" ht="15" hidden="false" customHeight="false" outlineLevel="0" collapsed="false">
      <c r="B389" s="4" t="s">
        <v>456</v>
      </c>
      <c r="C389" s="90" t="n">
        <f aca="false">S389+((T389/2)-($T$1/2))</f>
        <v>0</v>
      </c>
      <c r="D389" s="122" t="n">
        <f aca="false">$D$400-(1*$I$400)</f>
        <v>5.6</v>
      </c>
      <c r="E389" s="48" t="n">
        <f aca="false">$E$400-(1*$J$400)</f>
        <v>27.174</v>
      </c>
      <c r="F389" s="48" t="n">
        <v>-54</v>
      </c>
      <c r="G389" s="48" t="n">
        <f aca="false">E389</f>
        <v>27.174</v>
      </c>
    </row>
    <row r="390" customFormat="false" ht="15" hidden="false" customHeight="false" outlineLevel="0" collapsed="false">
      <c r="A390" s="115"/>
      <c r="B390" s="4" t="s">
        <v>457</v>
      </c>
      <c r="C390" s="90" t="n">
        <f aca="false">S390+((T390/2)-($T$1/2))</f>
        <v>0</v>
      </c>
      <c r="D390" s="122" t="n">
        <f aca="false">$D$400</f>
        <v>5.6</v>
      </c>
      <c r="E390" s="48" t="n">
        <f aca="false">$E$400-(1*$J$400)</f>
        <v>27.174</v>
      </c>
      <c r="F390" s="48" t="n">
        <v>-54</v>
      </c>
      <c r="G390" s="48" t="n">
        <f aca="false">E390</f>
        <v>27.174</v>
      </c>
    </row>
    <row r="391" customFormat="false" ht="15" hidden="false" customHeight="false" outlineLevel="0" collapsed="false">
      <c r="A391" s="115"/>
      <c r="B391" s="4" t="s">
        <v>458</v>
      </c>
      <c r="C391" s="90" t="n">
        <f aca="false">S391+((T391/2)-($T$1/2))</f>
        <v>0</v>
      </c>
      <c r="D391" s="122" t="n">
        <f aca="false">$D$400+(1*$I$400)</f>
        <v>5.6</v>
      </c>
      <c r="E391" s="48" t="n">
        <f aca="false">$E$400-(1*$J$400)</f>
        <v>27.174</v>
      </c>
      <c r="F391" s="48" t="n">
        <v>-54</v>
      </c>
      <c r="G391" s="48" t="n">
        <f aca="false">E391</f>
        <v>27.174</v>
      </c>
    </row>
    <row r="392" customFormat="false" ht="15" hidden="false" customHeight="false" outlineLevel="0" collapsed="false">
      <c r="A392" s="115"/>
      <c r="B392" s="4" t="s">
        <v>459</v>
      </c>
      <c r="C392" s="90" t="n">
        <f aca="false">S392+((T392/2)-($T$1/2))</f>
        <v>0</v>
      </c>
      <c r="D392" s="122" t="n">
        <f aca="false">$D$400+(2*$I$400)</f>
        <v>5.6</v>
      </c>
      <c r="E392" s="48" t="n">
        <f aca="false">$E$400-(1*$J$400)</f>
        <v>27.174</v>
      </c>
      <c r="F392" s="48" t="n">
        <v>-54</v>
      </c>
      <c r="G392" s="48" t="n">
        <f aca="false">E392</f>
        <v>27.174</v>
      </c>
    </row>
    <row r="393" customFormat="false" ht="15" hidden="false" customHeight="false" outlineLevel="0" collapsed="false">
      <c r="A393" s="115"/>
      <c r="B393" s="4" t="s">
        <v>460</v>
      </c>
      <c r="C393" s="90" t="n">
        <f aca="false">S393+((T393/2)-($T$1/2))</f>
        <v>0</v>
      </c>
      <c r="D393" s="122" t="n">
        <f aca="false">$D$400+(3*$I$400)</f>
        <v>5.6</v>
      </c>
      <c r="E393" s="48" t="n">
        <f aca="false">$E$400-(1*$J$400)</f>
        <v>27.174</v>
      </c>
      <c r="F393" s="48" t="n">
        <v>-54</v>
      </c>
      <c r="G393" s="48" t="n">
        <f aca="false">E393</f>
        <v>27.174</v>
      </c>
    </row>
    <row r="394" customFormat="false" ht="15" hidden="false" customHeight="false" outlineLevel="0" collapsed="false">
      <c r="A394" s="115"/>
      <c r="B394" s="4" t="s">
        <v>461</v>
      </c>
      <c r="C394" s="90" t="n">
        <f aca="false">S394+((T394/2)-($T$1/2))</f>
        <v>0</v>
      </c>
      <c r="D394" s="122" t="n">
        <f aca="false">$D$400+(4*$I$400)</f>
        <v>5.6</v>
      </c>
      <c r="E394" s="48" t="n">
        <f aca="false">$E$400-(1*$J$400)</f>
        <v>27.174</v>
      </c>
      <c r="F394" s="48" t="n">
        <v>-54</v>
      </c>
      <c r="G394" s="48" t="n">
        <f aca="false">E394</f>
        <v>27.174</v>
      </c>
    </row>
    <row r="395" customFormat="false" ht="15" hidden="false" customHeight="false" outlineLevel="0" collapsed="false">
      <c r="B395" s="4" t="s">
        <v>462</v>
      </c>
      <c r="C395" s="90" t="n">
        <f aca="false">S395+((T395/2)-($T$1/2))</f>
        <v>0</v>
      </c>
      <c r="D395" s="122" t="n">
        <f aca="false">$D$400+(5*$I$400)</f>
        <v>5.6</v>
      </c>
      <c r="E395" s="48" t="n">
        <f aca="false">$E$400-(1*$J$400)</f>
        <v>27.174</v>
      </c>
      <c r="F395" s="48" t="n">
        <v>-54</v>
      </c>
      <c r="G395" s="48" t="n">
        <f aca="false">E395</f>
        <v>27.174</v>
      </c>
    </row>
    <row r="396" customFormat="false" ht="15" hidden="false" customHeight="false" outlineLevel="0" collapsed="false">
      <c r="A396" s="115"/>
      <c r="B396" s="4" t="s">
        <v>463</v>
      </c>
      <c r="C396" s="90" t="n">
        <f aca="false">S396+((T396/2)-($T$1/2))</f>
        <v>0</v>
      </c>
      <c r="D396" s="122" t="n">
        <f aca="false">$D$400-(4*$I$400)</f>
        <v>5.6</v>
      </c>
      <c r="E396" s="48" t="n">
        <f aca="false">$E$400</f>
        <v>27.174</v>
      </c>
      <c r="F396" s="48" t="n">
        <v>66</v>
      </c>
      <c r="G396" s="48" t="n">
        <f aca="false">E396</f>
        <v>27.174</v>
      </c>
    </row>
    <row r="397" customFormat="false" ht="15" hidden="false" customHeight="false" outlineLevel="0" collapsed="false">
      <c r="A397" s="115"/>
      <c r="B397" s="4" t="s">
        <v>464</v>
      </c>
      <c r="C397" s="90" t="n">
        <f aca="false">S397+((T397/2)-($T$1/2))</f>
        <v>0</v>
      </c>
      <c r="D397" s="122" t="n">
        <f aca="false">$D$400-(3*$I$400)</f>
        <v>5.6</v>
      </c>
      <c r="E397" s="48" t="n">
        <f aca="false">$E$400</f>
        <v>27.174</v>
      </c>
      <c r="F397" s="48" t="n">
        <v>66</v>
      </c>
      <c r="G397" s="48" t="n">
        <f aca="false">E397</f>
        <v>27.174</v>
      </c>
    </row>
    <row r="398" customFormat="false" ht="15" hidden="false" customHeight="false" outlineLevel="0" collapsed="false">
      <c r="A398" s="115"/>
      <c r="B398" s="4" t="s">
        <v>465</v>
      </c>
      <c r="C398" s="90" t="n">
        <f aca="false">S398+((T398/2)-($T$1/2))</f>
        <v>0</v>
      </c>
      <c r="D398" s="122" t="n">
        <f aca="false">$D$400-(2*$I$400)</f>
        <v>5.6</v>
      </c>
      <c r="E398" s="48" t="n">
        <f aca="false">$E$400</f>
        <v>27.174</v>
      </c>
      <c r="F398" s="48" t="n">
        <v>66</v>
      </c>
      <c r="G398" s="48" t="n">
        <f aca="false">E398</f>
        <v>27.174</v>
      </c>
    </row>
    <row r="399" customFormat="false" ht="15" hidden="false" customHeight="false" outlineLevel="0" collapsed="false">
      <c r="A399" s="115"/>
      <c r="B399" s="4" t="s">
        <v>466</v>
      </c>
      <c r="C399" s="90" t="n">
        <f aca="false">S399+((T399/2)-($T$1/2))</f>
        <v>0</v>
      </c>
      <c r="D399" s="122" t="n">
        <f aca="false">$D$400-(1*$I$400)</f>
        <v>5.6</v>
      </c>
      <c r="E399" s="48" t="n">
        <f aca="false">$E$400</f>
        <v>27.174</v>
      </c>
      <c r="F399" s="48" t="n">
        <v>66</v>
      </c>
      <c r="G399" s="48" t="n">
        <f aca="false">E399</f>
        <v>27.174</v>
      </c>
    </row>
    <row r="400" customFormat="false" ht="15" hidden="false" customHeight="false" outlineLevel="0" collapsed="false">
      <c r="A400" s="124"/>
      <c r="B400" s="131" t="s">
        <v>467</v>
      </c>
      <c r="C400" s="126" t="n">
        <f aca="false">S400+((T400/2)-($T$1/2))</f>
        <v>0</v>
      </c>
      <c r="D400" s="127" t="n">
        <v>5.6</v>
      </c>
      <c r="E400" s="128" t="n">
        <f aca="false">-1.6+28.774</f>
        <v>27.174</v>
      </c>
      <c r="F400" s="48" t="n">
        <v>66</v>
      </c>
      <c r="G400" s="48" t="n">
        <f aca="false">E400</f>
        <v>27.174</v>
      </c>
    </row>
    <row r="401" customFormat="false" ht="15" hidden="false" customHeight="false" outlineLevel="0" collapsed="false">
      <c r="B401" s="4" t="s">
        <v>468</v>
      </c>
      <c r="C401" s="90" t="n">
        <f aca="false">S401+((T401/2)-($T$1/2))</f>
        <v>0</v>
      </c>
      <c r="D401" s="122" t="n">
        <f aca="false">$D$400+(1*$I$400)</f>
        <v>5.6</v>
      </c>
      <c r="E401" s="48" t="n">
        <f aca="false">$E$400</f>
        <v>27.174</v>
      </c>
      <c r="F401" s="48" t="n">
        <v>66</v>
      </c>
      <c r="G401" s="48" t="n">
        <f aca="false">E401</f>
        <v>27.174</v>
      </c>
    </row>
    <row r="402" customFormat="false" ht="15" hidden="false" customHeight="false" outlineLevel="0" collapsed="false">
      <c r="B402" s="4" t="s">
        <v>469</v>
      </c>
      <c r="C402" s="90" t="n">
        <f aca="false">S402+((T402/2)-($T$1/2))</f>
        <v>0</v>
      </c>
      <c r="D402" s="122" t="n">
        <f aca="false">$D$400+(2*$I$400)</f>
        <v>5.6</v>
      </c>
      <c r="E402" s="48" t="n">
        <f aca="false">$E$400</f>
        <v>27.174</v>
      </c>
      <c r="F402" s="48" t="n">
        <v>66</v>
      </c>
      <c r="G402" s="48" t="n">
        <f aca="false">E402</f>
        <v>27.174</v>
      </c>
    </row>
    <row r="403" customFormat="false" ht="15" hidden="false" customHeight="false" outlineLevel="0" collapsed="false">
      <c r="B403" s="4" t="s">
        <v>470</v>
      </c>
      <c r="C403" s="90" t="n">
        <f aca="false">S403+((T403/2)-($T$1/2))</f>
        <v>0</v>
      </c>
      <c r="D403" s="122" t="n">
        <f aca="false">$D$400+(3*$I$400)</f>
        <v>5.6</v>
      </c>
      <c r="E403" s="48" t="n">
        <f aca="false">$E$400</f>
        <v>27.174</v>
      </c>
      <c r="F403" s="48" t="n">
        <v>66</v>
      </c>
      <c r="G403" s="48" t="n">
        <f aca="false">E403</f>
        <v>27.174</v>
      </c>
    </row>
    <row r="404" customFormat="false" ht="15" hidden="false" customHeight="false" outlineLevel="0" collapsed="false">
      <c r="B404" s="4" t="s">
        <v>471</v>
      </c>
      <c r="C404" s="90" t="n">
        <f aca="false">S404+((T404/2)-($T$1/2))</f>
        <v>0</v>
      </c>
      <c r="D404" s="122" t="n">
        <f aca="false">$D$400+(4*$I$400)</f>
        <v>5.6</v>
      </c>
      <c r="E404" s="48" t="n">
        <f aca="false">$E$400</f>
        <v>27.174</v>
      </c>
      <c r="F404" s="48" t="n">
        <v>66</v>
      </c>
      <c r="G404" s="48" t="n">
        <f aca="false">E404</f>
        <v>27.174</v>
      </c>
    </row>
    <row r="405" customFormat="false" ht="15" hidden="false" customHeight="false" outlineLevel="0" collapsed="false">
      <c r="B405" s="4" t="s">
        <v>472</v>
      </c>
      <c r="C405" s="90" t="n">
        <f aca="false">S405+((T405/2)-($T$1/2))</f>
        <v>0</v>
      </c>
      <c r="D405" s="122" t="n">
        <f aca="false">$D$400+(5*$I$400)</f>
        <v>5.6</v>
      </c>
      <c r="E405" s="48" t="n">
        <f aca="false">$E$400</f>
        <v>27.174</v>
      </c>
      <c r="F405" s="48" t="n">
        <v>66</v>
      </c>
      <c r="G405" s="48" t="n">
        <f aca="false">E405</f>
        <v>27.174</v>
      </c>
    </row>
    <row r="406" customFormat="false" ht="15" hidden="false" customHeight="false" outlineLevel="0" collapsed="false">
      <c r="B406" s="4" t="s">
        <v>473</v>
      </c>
      <c r="C406" s="90" t="n">
        <f aca="false">S406+((T406/2)-($T$1/2))</f>
        <v>0</v>
      </c>
      <c r="D406" s="122" t="n">
        <f aca="false">$D$400-(4*$I$400)</f>
        <v>5.6</v>
      </c>
      <c r="E406" s="129" t="n">
        <f aca="false">$E$400+(1*$J$400)</f>
        <v>27.174</v>
      </c>
      <c r="F406" s="48" t="n">
        <v>-54</v>
      </c>
      <c r="G406" s="48" t="n">
        <f aca="false">E406</f>
        <v>27.174</v>
      </c>
    </row>
    <row r="407" customFormat="false" ht="15" hidden="false" customHeight="false" outlineLevel="0" collapsed="false">
      <c r="B407" s="4" t="s">
        <v>474</v>
      </c>
      <c r="C407" s="90" t="n">
        <f aca="false">S407+((T407/2)-($T$1/2))</f>
        <v>0</v>
      </c>
      <c r="D407" s="122" t="n">
        <f aca="false">$D$400-(3*$I$400)</f>
        <v>5.6</v>
      </c>
      <c r="E407" s="129" t="n">
        <f aca="false">$E$400+(1*$J$400)</f>
        <v>27.174</v>
      </c>
      <c r="F407" s="48" t="n">
        <v>-54</v>
      </c>
      <c r="G407" s="48" t="n">
        <f aca="false">E407</f>
        <v>27.174</v>
      </c>
    </row>
    <row r="408" customFormat="false" ht="15" hidden="false" customHeight="false" outlineLevel="0" collapsed="false">
      <c r="B408" s="4" t="s">
        <v>475</v>
      </c>
      <c r="C408" s="90" t="n">
        <f aca="false">S408+((T408/2)-($T$1/2))</f>
        <v>0</v>
      </c>
      <c r="D408" s="122" t="n">
        <f aca="false">$D$400-(2*$I$400)</f>
        <v>5.6</v>
      </c>
      <c r="E408" s="129" t="n">
        <f aca="false">$E$400+(1*$J$400)</f>
        <v>27.174</v>
      </c>
      <c r="F408" s="48" t="n">
        <v>-54</v>
      </c>
      <c r="G408" s="48" t="n">
        <f aca="false">E408</f>
        <v>27.174</v>
      </c>
    </row>
    <row r="409" customFormat="false" ht="15" hidden="false" customHeight="false" outlineLevel="0" collapsed="false">
      <c r="A409" s="115"/>
      <c r="B409" s="4" t="s">
        <v>476</v>
      </c>
      <c r="C409" s="90" t="n">
        <f aca="false">S409+((T409/2)-($T$1/2))</f>
        <v>0</v>
      </c>
      <c r="D409" s="122" t="n">
        <f aca="false">$D$400-(1*$I$400)</f>
        <v>5.6</v>
      </c>
      <c r="E409" s="129" t="n">
        <f aca="false">$E$400+(1*$J$400)</f>
        <v>27.174</v>
      </c>
      <c r="F409" s="48" t="n">
        <v>-54</v>
      </c>
      <c r="G409" s="48" t="n">
        <f aca="false">E409</f>
        <v>27.174</v>
      </c>
    </row>
    <row r="410" customFormat="false" ht="15" hidden="false" customHeight="false" outlineLevel="0" collapsed="false">
      <c r="A410" s="115"/>
      <c r="B410" s="4" t="s">
        <v>477</v>
      </c>
      <c r="C410" s="90" t="n">
        <f aca="false">S410+((T410/2)-($T$1/2))</f>
        <v>0</v>
      </c>
      <c r="D410" s="122" t="n">
        <f aca="false">$D$400</f>
        <v>5.6</v>
      </c>
      <c r="E410" s="129" t="n">
        <f aca="false">$E$400+(1*$J$400)</f>
        <v>27.174</v>
      </c>
      <c r="F410" s="48" t="n">
        <v>-54</v>
      </c>
      <c r="G410" s="48" t="n">
        <f aca="false">E410</f>
        <v>27.174</v>
      </c>
    </row>
    <row r="411" customFormat="false" ht="15" hidden="false" customHeight="false" outlineLevel="0" collapsed="false">
      <c r="A411" s="115"/>
      <c r="B411" s="4" t="s">
        <v>478</v>
      </c>
      <c r="C411" s="90" t="n">
        <f aca="false">S411+((T411/2)-($T$1/2))</f>
        <v>0</v>
      </c>
      <c r="D411" s="122" t="n">
        <f aca="false">$D$400+(1*$I$400)</f>
        <v>5.6</v>
      </c>
      <c r="E411" s="129" t="n">
        <f aca="false">$E$400+(1*$J$400)</f>
        <v>27.174</v>
      </c>
      <c r="F411" s="48" t="n">
        <v>-54</v>
      </c>
      <c r="G411" s="48" t="n">
        <f aca="false">E411</f>
        <v>27.174</v>
      </c>
    </row>
    <row r="412" customFormat="false" ht="15" hidden="false" customHeight="false" outlineLevel="0" collapsed="false">
      <c r="A412" s="115"/>
      <c r="B412" s="4" t="s">
        <v>479</v>
      </c>
      <c r="C412" s="90" t="n">
        <f aca="false">S412+((T412/2)-($T$1/2))</f>
        <v>0</v>
      </c>
      <c r="D412" s="122" t="n">
        <f aca="false">$D$400+(2*$I$400)</f>
        <v>5.6</v>
      </c>
      <c r="E412" s="129" t="n">
        <f aca="false">$E$400+(1*$J$400)</f>
        <v>27.174</v>
      </c>
      <c r="F412" s="48" t="n">
        <v>-54</v>
      </c>
      <c r="G412" s="48" t="n">
        <f aca="false">E412</f>
        <v>27.174</v>
      </c>
    </row>
    <row r="413" customFormat="false" ht="15" hidden="false" customHeight="false" outlineLevel="0" collapsed="false">
      <c r="A413" s="115"/>
      <c r="B413" s="4" t="s">
        <v>480</v>
      </c>
      <c r="C413" s="90" t="n">
        <f aca="false">S413+((T413/2)-($T$1/2))</f>
        <v>0</v>
      </c>
      <c r="D413" s="122" t="n">
        <f aca="false">$D$400+(3*$I$400)</f>
        <v>5.6</v>
      </c>
      <c r="E413" s="129" t="n">
        <f aca="false">$E$400+(1*$J$400)</f>
        <v>27.174</v>
      </c>
      <c r="F413" s="48" t="n">
        <v>-54</v>
      </c>
      <c r="G413" s="48" t="n">
        <f aca="false">E413</f>
        <v>27.174</v>
      </c>
    </row>
    <row r="414" customFormat="false" ht="15" hidden="false" customHeight="false" outlineLevel="0" collapsed="false">
      <c r="B414" s="4" t="s">
        <v>481</v>
      </c>
      <c r="C414" s="90" t="n">
        <f aca="false">S414+((T414/2)-($T$1/2))</f>
        <v>0</v>
      </c>
      <c r="D414" s="122" t="n">
        <f aca="false">$D$400+(4*$I$400)</f>
        <v>5.6</v>
      </c>
      <c r="E414" s="129" t="n">
        <f aca="false">$E$400+(1*$J$400)</f>
        <v>27.174</v>
      </c>
      <c r="F414" s="48" t="n">
        <v>-54</v>
      </c>
      <c r="G414" s="48" t="n">
        <f aca="false">E414</f>
        <v>27.174</v>
      </c>
    </row>
    <row r="415" customFormat="false" ht="15" hidden="false" customHeight="false" outlineLevel="0" collapsed="false">
      <c r="A415" s="115"/>
      <c r="B415" s="4" t="s">
        <v>482</v>
      </c>
      <c r="C415" s="90" t="n">
        <f aca="false">S415+((T415/2)-($T$1/2))</f>
        <v>0</v>
      </c>
      <c r="D415" s="122" t="n">
        <f aca="false">$D$400+(5*$I$400)</f>
        <v>5.6</v>
      </c>
      <c r="E415" s="129" t="n">
        <f aca="false">$E$400+(1*$J$400)</f>
        <v>27.174</v>
      </c>
      <c r="F415" s="48" t="n">
        <v>-54</v>
      </c>
      <c r="G415" s="48" t="n">
        <f aca="false">E415</f>
        <v>27.174</v>
      </c>
    </row>
    <row r="416" customFormat="false" ht="15" hidden="false" customHeight="false" outlineLevel="0" collapsed="false">
      <c r="A416" s="115"/>
      <c r="B416" s="4" t="s">
        <v>483</v>
      </c>
      <c r="C416" s="90" t="n">
        <f aca="false">S416+((T416/2)-($T$1/2))</f>
        <v>0</v>
      </c>
      <c r="D416" s="122" t="n">
        <f aca="false">$D$400-(4*$I$400)</f>
        <v>5.6</v>
      </c>
      <c r="E416" s="129" t="n">
        <f aca="false">$E$400+(2*$J$400)</f>
        <v>27.174</v>
      </c>
      <c r="F416" s="48" t="n">
        <v>-54</v>
      </c>
      <c r="G416" s="48" t="n">
        <f aca="false">E416</f>
        <v>27.174</v>
      </c>
    </row>
    <row r="417" customFormat="false" ht="15" hidden="false" customHeight="false" outlineLevel="0" collapsed="false">
      <c r="A417" s="115"/>
      <c r="B417" s="4" t="s">
        <v>484</v>
      </c>
      <c r="C417" s="90" t="n">
        <f aca="false">S417+((T417/2)-($T$1/2))</f>
        <v>0</v>
      </c>
      <c r="D417" s="122" t="n">
        <f aca="false">$D$400-(3*$I$400)</f>
        <v>5.6</v>
      </c>
      <c r="E417" s="129" t="n">
        <f aca="false">$E$400+(2*$J$400)</f>
        <v>27.174</v>
      </c>
      <c r="F417" s="48" t="n">
        <v>-54</v>
      </c>
      <c r="G417" s="48" t="n">
        <f aca="false">E417</f>
        <v>27.174</v>
      </c>
    </row>
    <row r="418" customFormat="false" ht="15" hidden="false" customHeight="false" outlineLevel="0" collapsed="false">
      <c r="A418" s="115"/>
      <c r="B418" s="4" t="s">
        <v>485</v>
      </c>
      <c r="C418" s="90" t="n">
        <f aca="false">S418+((T418/2)-($T$1/2))</f>
        <v>0</v>
      </c>
      <c r="D418" s="122" t="n">
        <f aca="false">$D$400-(2*$I$400)</f>
        <v>5.6</v>
      </c>
      <c r="E418" s="129" t="n">
        <f aca="false">$E$400+(2*$J$400)</f>
        <v>27.174</v>
      </c>
      <c r="F418" s="48" t="n">
        <v>-54</v>
      </c>
      <c r="G418" s="48" t="n">
        <f aca="false">E418</f>
        <v>27.174</v>
      </c>
    </row>
    <row r="419" customFormat="false" ht="15" hidden="false" customHeight="false" outlineLevel="0" collapsed="false">
      <c r="A419" s="115"/>
      <c r="B419" s="4" t="s">
        <v>486</v>
      </c>
      <c r="C419" s="90" t="n">
        <f aca="false">S419+((T419/2)-($T$1/2))</f>
        <v>0</v>
      </c>
      <c r="D419" s="122" t="n">
        <f aca="false">$D$400-(1*$I$400)</f>
        <v>5.6</v>
      </c>
      <c r="E419" s="129" t="n">
        <f aca="false">$E$400+(2*$J$400)</f>
        <v>27.174</v>
      </c>
      <c r="F419" s="48" t="n">
        <v>-54</v>
      </c>
      <c r="G419" s="48" t="n">
        <f aca="false">E419</f>
        <v>27.174</v>
      </c>
    </row>
    <row r="420" customFormat="false" ht="15" hidden="false" customHeight="false" outlineLevel="0" collapsed="false">
      <c r="B420" s="4" t="s">
        <v>487</v>
      </c>
      <c r="C420" s="90" t="n">
        <f aca="false">S420+((T420/2)-($T$1/2))</f>
        <v>0</v>
      </c>
      <c r="D420" s="122" t="n">
        <f aca="false">$D$400</f>
        <v>5.6</v>
      </c>
      <c r="E420" s="129" t="n">
        <f aca="false">$E$400+(2*$J$400)</f>
        <v>27.174</v>
      </c>
      <c r="F420" s="48" t="n">
        <v>-54</v>
      </c>
      <c r="G420" s="48" t="n">
        <f aca="false">E420</f>
        <v>27.174</v>
      </c>
    </row>
    <row r="421" customFormat="false" ht="15" hidden="false" customHeight="false" outlineLevel="0" collapsed="false">
      <c r="A421" s="115"/>
      <c r="B421" s="4" t="s">
        <v>488</v>
      </c>
      <c r="C421" s="90" t="n">
        <f aca="false">S421+((T421/2)-($T$1/2))</f>
        <v>0</v>
      </c>
      <c r="D421" s="122" t="n">
        <f aca="false">$D$400+(1*$I$400)</f>
        <v>5.6</v>
      </c>
      <c r="E421" s="129" t="n">
        <f aca="false">$E$400+(2*$J$400)</f>
        <v>27.174</v>
      </c>
      <c r="F421" s="48" t="n">
        <v>-54</v>
      </c>
      <c r="G421" s="48" t="n">
        <f aca="false">E421</f>
        <v>27.174</v>
      </c>
    </row>
    <row r="422" customFormat="false" ht="15" hidden="false" customHeight="false" outlineLevel="0" collapsed="false">
      <c r="A422" s="115"/>
      <c r="B422" s="4" t="s">
        <v>489</v>
      </c>
      <c r="C422" s="90" t="n">
        <f aca="false">S422+((T422/2)-($T$1/2))</f>
        <v>0</v>
      </c>
      <c r="D422" s="122" t="n">
        <f aca="false">$D$400+(2*$I$400)</f>
        <v>5.6</v>
      </c>
      <c r="E422" s="129" t="n">
        <f aca="false">$E$400+(2*$J$400)</f>
        <v>27.174</v>
      </c>
      <c r="F422" s="48" t="n">
        <v>-54</v>
      </c>
      <c r="G422" s="48" t="n">
        <f aca="false">E422</f>
        <v>27.174</v>
      </c>
    </row>
    <row r="423" customFormat="false" ht="15" hidden="false" customHeight="false" outlineLevel="0" collapsed="false">
      <c r="A423" s="115"/>
      <c r="B423" s="4" t="s">
        <v>490</v>
      </c>
      <c r="C423" s="90" t="n">
        <f aca="false">S423+((T423/2)-($T$1/2))</f>
        <v>0</v>
      </c>
      <c r="D423" s="122" t="n">
        <f aca="false">$D$400+(3*$I$400)</f>
        <v>5.6</v>
      </c>
      <c r="E423" s="129" t="n">
        <f aca="false">$E$400+(2*$J$400)</f>
        <v>27.174</v>
      </c>
      <c r="F423" s="48" t="n">
        <v>-54</v>
      </c>
      <c r="G423" s="48" t="n">
        <f aca="false">E423</f>
        <v>27.174</v>
      </c>
    </row>
    <row r="424" customFormat="false" ht="15" hidden="false" customHeight="false" outlineLevel="0" collapsed="false">
      <c r="A424" s="115"/>
      <c r="B424" s="4" t="s">
        <v>491</v>
      </c>
      <c r="C424" s="90" t="n">
        <f aca="false">S424+((T424/2)-($T$1/2))</f>
        <v>0</v>
      </c>
      <c r="D424" s="122" t="n">
        <f aca="false">$D$400+(4*$I$400)</f>
        <v>5.6</v>
      </c>
      <c r="E424" s="129" t="n">
        <f aca="false">$E$400+(2*$J$400)</f>
        <v>27.174</v>
      </c>
      <c r="F424" s="48" t="n">
        <v>-54</v>
      </c>
      <c r="G424" s="48" t="n">
        <f aca="false">E424</f>
        <v>27.174</v>
      </c>
    </row>
    <row r="425" customFormat="false" ht="15" hidden="false" customHeight="false" outlineLevel="0" collapsed="false">
      <c r="A425" s="115"/>
      <c r="B425" s="4" t="s">
        <v>492</v>
      </c>
      <c r="C425" s="90" t="n">
        <f aca="false">S425+((T425/2)-($T$1/2))</f>
        <v>0</v>
      </c>
      <c r="D425" s="122" t="n">
        <f aca="false">$D$400+(5*$I$400)</f>
        <v>5.6</v>
      </c>
      <c r="E425" s="129" t="n">
        <f aca="false">$E$400+(2*$J$400)</f>
        <v>27.174</v>
      </c>
      <c r="F425" s="48" t="n">
        <v>-54</v>
      </c>
      <c r="G425" s="48" t="n">
        <f aca="false">E425</f>
        <v>27.174</v>
      </c>
    </row>
    <row r="426" customFormat="false" ht="15" hidden="false" customHeight="false" outlineLevel="0" collapsed="false">
      <c r="B426" s="4" t="s">
        <v>493</v>
      </c>
      <c r="C426" s="90" t="n">
        <f aca="false">S426+((T426/2)-($T$1/2))</f>
        <v>0</v>
      </c>
      <c r="D426" s="122" t="n">
        <f aca="false">$D$400-(4*$I$400)</f>
        <v>5.6</v>
      </c>
      <c r="E426" s="129" t="n">
        <f aca="false">$E$400+(3*$J$400)</f>
        <v>27.174</v>
      </c>
      <c r="F426" s="48" t="n">
        <v>-54</v>
      </c>
      <c r="G426" s="48" t="n">
        <f aca="false">E426</f>
        <v>27.174</v>
      </c>
    </row>
    <row r="427" customFormat="false" ht="15" hidden="false" customHeight="false" outlineLevel="0" collapsed="false">
      <c r="B427" s="4" t="s">
        <v>494</v>
      </c>
      <c r="C427" s="90" t="n">
        <f aca="false">S427+((T427/2)-($T$1/2))</f>
        <v>0</v>
      </c>
      <c r="D427" s="122" t="n">
        <f aca="false">$D$400-(3*$I$400)</f>
        <v>5.6</v>
      </c>
      <c r="E427" s="129" t="n">
        <f aca="false">$E$400+(3*$J$400)</f>
        <v>27.174</v>
      </c>
      <c r="F427" s="48" t="n">
        <v>-54</v>
      </c>
      <c r="G427" s="48" t="n">
        <f aca="false">E427</f>
        <v>27.174</v>
      </c>
    </row>
    <row r="428" customFormat="false" ht="15" hidden="false" customHeight="false" outlineLevel="0" collapsed="false">
      <c r="B428" s="4" t="s">
        <v>495</v>
      </c>
      <c r="C428" s="90" t="n">
        <f aca="false">S428+((T428/2)-($T$1/2))</f>
        <v>0</v>
      </c>
      <c r="D428" s="122" t="n">
        <f aca="false">$D$400-(2*$I$400)</f>
        <v>5.6</v>
      </c>
      <c r="E428" s="129" t="n">
        <f aca="false">$E$400+(3*$J$400)</f>
        <v>27.174</v>
      </c>
      <c r="F428" s="48" t="n">
        <v>-54</v>
      </c>
      <c r="G428" s="48" t="n">
        <f aca="false">E428</f>
        <v>27.174</v>
      </c>
    </row>
    <row r="429" customFormat="false" ht="15" hidden="false" customHeight="false" outlineLevel="0" collapsed="false">
      <c r="B429" s="4" t="s">
        <v>496</v>
      </c>
      <c r="C429" s="90" t="n">
        <f aca="false">S429+((T429/2)-($T$1/2))</f>
        <v>0</v>
      </c>
      <c r="D429" s="122" t="n">
        <f aca="false">$D$400-(1*$I$400)</f>
        <v>5.6</v>
      </c>
      <c r="E429" s="129" t="n">
        <f aca="false">$E$400+(3*$J$400)</f>
        <v>27.174</v>
      </c>
      <c r="F429" s="48" t="n">
        <v>-54</v>
      </c>
      <c r="G429" s="48" t="n">
        <f aca="false">E429</f>
        <v>27.174</v>
      </c>
    </row>
    <row r="430" customFormat="false" ht="15" hidden="false" customHeight="false" outlineLevel="0" collapsed="false">
      <c r="B430" s="4" t="s">
        <v>497</v>
      </c>
      <c r="C430" s="90" t="n">
        <f aca="false">S430+((T430/2)-($T$1/2))</f>
        <v>0</v>
      </c>
      <c r="D430" s="122" t="n">
        <f aca="false">$D$400</f>
        <v>5.6</v>
      </c>
      <c r="E430" s="129" t="n">
        <f aca="false">$E$400+(3*$J$400)</f>
        <v>27.174</v>
      </c>
      <c r="F430" s="48" t="n">
        <v>-54</v>
      </c>
      <c r="G430" s="48" t="n">
        <f aca="false">E430</f>
        <v>27.174</v>
      </c>
    </row>
    <row r="431" customFormat="false" ht="15" hidden="false" customHeight="false" outlineLevel="0" collapsed="false">
      <c r="B431" s="4" t="s">
        <v>498</v>
      </c>
      <c r="C431" s="90" t="n">
        <f aca="false">S431+((T431/2)-($T$1/2))</f>
        <v>0</v>
      </c>
      <c r="D431" s="122" t="n">
        <f aca="false">$D$400+(1*$I$400)</f>
        <v>5.6</v>
      </c>
      <c r="E431" s="129" t="n">
        <f aca="false">$E$400+(3*$J$400)</f>
        <v>27.174</v>
      </c>
      <c r="F431" s="48" t="n">
        <v>-54</v>
      </c>
      <c r="G431" s="48" t="n">
        <f aca="false">E431</f>
        <v>27.174</v>
      </c>
    </row>
    <row r="432" customFormat="false" ht="15" hidden="false" customHeight="false" outlineLevel="0" collapsed="false">
      <c r="B432" s="4" t="s">
        <v>499</v>
      </c>
      <c r="C432" s="90" t="n">
        <f aca="false">S432+((T432/2)-($T$1/2))</f>
        <v>0</v>
      </c>
      <c r="D432" s="122" t="n">
        <f aca="false">$D$400+(2*$I$400)</f>
        <v>5.6</v>
      </c>
      <c r="E432" s="129" t="n">
        <f aca="false">$E$400+(3*$J$400)</f>
        <v>27.174</v>
      </c>
      <c r="F432" s="48" t="n">
        <v>-54</v>
      </c>
      <c r="G432" s="48" t="n">
        <f aca="false">E432</f>
        <v>27.174</v>
      </c>
    </row>
    <row r="433" customFormat="false" ht="15" hidden="false" customHeight="false" outlineLevel="0" collapsed="false">
      <c r="B433" s="4" t="s">
        <v>500</v>
      </c>
      <c r="C433" s="90" t="n">
        <f aca="false">S433+((T433/2)-($T$1/2))</f>
        <v>0</v>
      </c>
      <c r="D433" s="122" t="n">
        <f aca="false">$D$400+(3*$I$400)</f>
        <v>5.6</v>
      </c>
      <c r="E433" s="129" t="n">
        <f aca="false">$E$400+(3*$J$400)</f>
        <v>27.174</v>
      </c>
      <c r="F433" s="48" t="n">
        <v>-54</v>
      </c>
      <c r="G433" s="48" t="n">
        <f aca="false">E433</f>
        <v>27.174</v>
      </c>
    </row>
    <row r="434" customFormat="false" ht="15" hidden="false" customHeight="false" outlineLevel="0" collapsed="false">
      <c r="B434" s="4" t="s">
        <v>501</v>
      </c>
      <c r="C434" s="90" t="n">
        <f aca="false">S434+((T434/2)-($T$1/2))</f>
        <v>0</v>
      </c>
      <c r="D434" s="122" t="n">
        <f aca="false">$D$400+(4*$I$400)</f>
        <v>5.6</v>
      </c>
      <c r="E434" s="129" t="n">
        <f aca="false">$E$400+(3*$J$400)</f>
        <v>27.174</v>
      </c>
      <c r="F434" s="48" t="n">
        <v>-54</v>
      </c>
      <c r="G434" s="48" t="n">
        <f aca="false">E434</f>
        <v>27.174</v>
      </c>
    </row>
    <row r="435" customFormat="false" ht="15" hidden="false" customHeight="false" outlineLevel="0" collapsed="false">
      <c r="A435" s="115"/>
      <c r="B435" s="4" t="s">
        <v>502</v>
      </c>
      <c r="C435" s="90" t="n">
        <f aca="false">S435+((T435/2)-($T$1/2))</f>
        <v>0</v>
      </c>
      <c r="D435" s="122" t="n">
        <f aca="false">$D$400+(5*$I$400)</f>
        <v>5.6</v>
      </c>
      <c r="E435" s="129" t="n">
        <f aca="false">$E$400+(3*$J$400)</f>
        <v>27.174</v>
      </c>
      <c r="F435" s="48" t="n">
        <v>-54</v>
      </c>
      <c r="G435" s="48" t="n">
        <f aca="false">E435</f>
        <v>27.174</v>
      </c>
    </row>
    <row r="436" customFormat="false" ht="15" hidden="false" customHeight="false" outlineLevel="0" collapsed="false">
      <c r="A436" s="115"/>
      <c r="B436" s="4" t="s">
        <v>503</v>
      </c>
      <c r="C436" s="90" t="n">
        <f aca="false">S436+((T436/2)-($T$1/2))</f>
        <v>0</v>
      </c>
      <c r="D436" s="122" t="n">
        <f aca="false">$D$400-(4*$I$400)</f>
        <v>5.6</v>
      </c>
      <c r="E436" s="129" t="n">
        <f aca="false">$E$400+(4*$J$400)</f>
        <v>27.174</v>
      </c>
      <c r="F436" s="48" t="n">
        <v>-54</v>
      </c>
      <c r="G436" s="48" t="n">
        <f aca="false">E436</f>
        <v>27.174</v>
      </c>
    </row>
    <row r="437" customFormat="false" ht="15" hidden="false" customHeight="false" outlineLevel="0" collapsed="false">
      <c r="A437" s="115"/>
      <c r="B437" s="4" t="s">
        <v>504</v>
      </c>
      <c r="C437" s="90" t="n">
        <f aca="false">S437+((T437/2)-($T$1/2))</f>
        <v>0</v>
      </c>
      <c r="D437" s="122" t="n">
        <f aca="false">$D$400-(3*$I$400)</f>
        <v>5.6</v>
      </c>
      <c r="E437" s="129" t="n">
        <f aca="false">$E$400+(4*$J$400)</f>
        <v>27.174</v>
      </c>
      <c r="F437" s="48" t="n">
        <v>-54</v>
      </c>
      <c r="G437" s="48" t="n">
        <f aca="false">E437</f>
        <v>27.174</v>
      </c>
    </row>
    <row r="438" customFormat="false" ht="15" hidden="false" customHeight="false" outlineLevel="0" collapsed="false">
      <c r="A438" s="115"/>
      <c r="B438" s="4" t="s">
        <v>505</v>
      </c>
      <c r="C438" s="90" t="n">
        <f aca="false">S438+((T438/2)-($T$1/2))</f>
        <v>0</v>
      </c>
      <c r="D438" s="122" t="n">
        <f aca="false">$D$400-(2*$I$400)</f>
        <v>5.6</v>
      </c>
      <c r="E438" s="129" t="n">
        <f aca="false">$E$400+(4*$J$400)</f>
        <v>27.174</v>
      </c>
      <c r="F438" s="48" t="n">
        <v>-54</v>
      </c>
      <c r="G438" s="48" t="n">
        <f aca="false">E438</f>
        <v>27.174</v>
      </c>
    </row>
    <row r="439" customFormat="false" ht="15" hidden="false" customHeight="false" outlineLevel="0" collapsed="false">
      <c r="A439" s="115"/>
      <c r="B439" s="4" t="s">
        <v>506</v>
      </c>
      <c r="C439" s="90" t="n">
        <f aca="false">S439+((T439/2)-($T$1/2))</f>
        <v>0</v>
      </c>
      <c r="D439" s="122" t="n">
        <f aca="false">$D$400-(1*$I$400)</f>
        <v>5.6</v>
      </c>
      <c r="E439" s="129" t="n">
        <f aca="false">$E$400+(4*$J$400)</f>
        <v>27.174</v>
      </c>
      <c r="F439" s="48" t="n">
        <v>-54</v>
      </c>
      <c r="G439" s="48" t="n">
        <f aca="false">E439</f>
        <v>27.174</v>
      </c>
    </row>
    <row r="440" customFormat="false" ht="15" hidden="false" customHeight="false" outlineLevel="0" collapsed="false">
      <c r="B440" s="4" t="s">
        <v>507</v>
      </c>
      <c r="C440" s="90" t="n">
        <f aca="false">S440+((T440/2)-($T$1/2))</f>
        <v>0</v>
      </c>
      <c r="D440" s="122" t="n">
        <f aca="false">$D$400</f>
        <v>5.6</v>
      </c>
      <c r="E440" s="129" t="n">
        <f aca="false">$E$400+(4*$J$400)</f>
        <v>27.174</v>
      </c>
      <c r="F440" s="48" t="n">
        <v>-54</v>
      </c>
      <c r="G440" s="48" t="n">
        <f aca="false">E440</f>
        <v>27.174</v>
      </c>
    </row>
    <row r="441" customFormat="false" ht="15" hidden="false" customHeight="false" outlineLevel="0" collapsed="false">
      <c r="A441" s="115"/>
      <c r="B441" s="4" t="s">
        <v>508</v>
      </c>
      <c r="C441" s="90" t="n">
        <f aca="false">S441+((T441/2)-($T$1/2))</f>
        <v>0</v>
      </c>
      <c r="D441" s="122" t="n">
        <f aca="false">$D$400+(1*$I$400)</f>
        <v>5.6</v>
      </c>
      <c r="E441" s="129" t="n">
        <f aca="false">$E$400+(4*$J$400)</f>
        <v>27.174</v>
      </c>
      <c r="F441" s="48" t="n">
        <v>-54</v>
      </c>
      <c r="G441" s="48" t="n">
        <f aca="false">E441</f>
        <v>27.174</v>
      </c>
    </row>
    <row r="442" customFormat="false" ht="15" hidden="false" customHeight="false" outlineLevel="0" collapsed="false">
      <c r="A442" s="115"/>
      <c r="B442" s="4" t="s">
        <v>509</v>
      </c>
      <c r="C442" s="90" t="n">
        <f aca="false">S442+((T442/2)-($T$1/2))</f>
        <v>0</v>
      </c>
      <c r="D442" s="122" t="n">
        <f aca="false">$D$400+(2*$I$400)</f>
        <v>5.6</v>
      </c>
      <c r="E442" s="129" t="n">
        <f aca="false">$E$400+(4*$J$400)</f>
        <v>27.174</v>
      </c>
      <c r="F442" s="48" t="n">
        <v>-54</v>
      </c>
      <c r="G442" s="48" t="n">
        <f aca="false">E442</f>
        <v>27.174</v>
      </c>
    </row>
    <row r="443" customFormat="false" ht="15" hidden="false" customHeight="false" outlineLevel="0" collapsed="false">
      <c r="A443" s="115"/>
      <c r="B443" s="4" t="s">
        <v>510</v>
      </c>
      <c r="C443" s="90" t="n">
        <f aca="false">S443+((T443/2)-($T$1/2))</f>
        <v>0</v>
      </c>
      <c r="D443" s="122" t="n">
        <f aca="false">$D$400+(3*$I$400)</f>
        <v>5.6</v>
      </c>
      <c r="E443" s="129" t="n">
        <f aca="false">$E$400+(4*$J$400)</f>
        <v>27.174</v>
      </c>
      <c r="F443" s="48" t="n">
        <v>-54</v>
      </c>
      <c r="G443" s="48" t="n">
        <f aca="false">E443</f>
        <v>27.174</v>
      </c>
    </row>
    <row r="444" customFormat="false" ht="15" hidden="false" customHeight="false" outlineLevel="0" collapsed="false">
      <c r="A444" s="115"/>
      <c r="B444" s="4" t="s">
        <v>511</v>
      </c>
      <c r="C444" s="90" t="n">
        <f aca="false">S444+((T444/2)-($T$1/2))</f>
        <v>0</v>
      </c>
      <c r="D444" s="122" t="n">
        <f aca="false">$D$400+(4*$I$400)</f>
        <v>5.6</v>
      </c>
      <c r="E444" s="129" t="n">
        <f aca="false">$E$400+(4*$J$400)</f>
        <v>27.174</v>
      </c>
      <c r="F444" s="48" t="n">
        <v>-54</v>
      </c>
      <c r="G444" s="48" t="n">
        <f aca="false">E444</f>
        <v>27.174</v>
      </c>
    </row>
    <row r="445" customFormat="false" ht="15" hidden="false" customHeight="false" outlineLevel="0" collapsed="false">
      <c r="A445" s="115"/>
      <c r="B445" s="4" t="s">
        <v>512</v>
      </c>
      <c r="C445" s="90" t="n">
        <f aca="false">S445+((T445/2)-($T$1/2))</f>
        <v>0</v>
      </c>
      <c r="D445" s="122" t="n">
        <f aca="false">$D$400+(5*$I$400)</f>
        <v>5.6</v>
      </c>
      <c r="E445" s="129" t="n">
        <f aca="false">$E$400+(4*$J$400)</f>
        <v>27.174</v>
      </c>
      <c r="F445" s="48" t="n">
        <v>-54</v>
      </c>
      <c r="G445" s="48" t="n">
        <f aca="false">E445</f>
        <v>27.174</v>
      </c>
    </row>
    <row r="446" customFormat="false" ht="15" hidden="false" customHeight="false" outlineLevel="0" collapsed="false">
      <c r="B446" s="4" t="s">
        <v>513</v>
      </c>
      <c r="C446" s="90" t="n">
        <f aca="false">S446+((T446/2)-($T$1/2))</f>
        <v>0</v>
      </c>
      <c r="D446" s="122" t="n">
        <f aca="false">$D$400-(4*$I$400)</f>
        <v>5.6</v>
      </c>
      <c r="E446" s="129" t="n">
        <f aca="false">$E$400+(5*$J$400)</f>
        <v>27.174</v>
      </c>
      <c r="F446" s="48" t="n">
        <v>-54</v>
      </c>
      <c r="G446" s="48" t="n">
        <f aca="false">E446</f>
        <v>27.174</v>
      </c>
    </row>
    <row r="447" customFormat="false" ht="15" hidden="false" customHeight="false" outlineLevel="0" collapsed="false">
      <c r="A447" s="115"/>
      <c r="B447" s="4" t="s">
        <v>514</v>
      </c>
      <c r="C447" s="90" t="n">
        <f aca="false">S447+((T447/2)-($T$1/2))</f>
        <v>0</v>
      </c>
      <c r="D447" s="122" t="n">
        <f aca="false">$D$400-(3*$I$400)</f>
        <v>5.6</v>
      </c>
      <c r="E447" s="129" t="n">
        <f aca="false">$E$400+(5*$J$400)</f>
        <v>27.174</v>
      </c>
      <c r="F447" s="48" t="n">
        <v>-54</v>
      </c>
      <c r="G447" s="48" t="n">
        <f aca="false">E447</f>
        <v>27.174</v>
      </c>
    </row>
    <row r="448" customFormat="false" ht="15" hidden="false" customHeight="false" outlineLevel="0" collapsed="false">
      <c r="A448" s="115"/>
      <c r="B448" s="4" t="s">
        <v>515</v>
      </c>
      <c r="C448" s="90" t="n">
        <f aca="false">S448+((T448/2)-($T$1/2))</f>
        <v>0</v>
      </c>
      <c r="D448" s="122" t="n">
        <f aca="false">$D$400-(2*$I$400)</f>
        <v>5.6</v>
      </c>
      <c r="E448" s="129" t="n">
        <f aca="false">$E$400+(5*$J$400)</f>
        <v>27.174</v>
      </c>
      <c r="F448" s="48" t="n">
        <v>-54</v>
      </c>
      <c r="G448" s="48" t="n">
        <f aca="false">E448</f>
        <v>27.174</v>
      </c>
    </row>
    <row r="449" customFormat="false" ht="15" hidden="false" customHeight="false" outlineLevel="0" collapsed="false">
      <c r="A449" s="115"/>
      <c r="B449" s="4" t="s">
        <v>516</v>
      </c>
      <c r="C449" s="90" t="n">
        <f aca="false">S449+((T449/2)-($T$1/2))</f>
        <v>0</v>
      </c>
      <c r="D449" s="122" t="n">
        <f aca="false">$D$400-(1*$I$400)</f>
        <v>5.6</v>
      </c>
      <c r="E449" s="129" t="n">
        <f aca="false">$E$400+(5*$J$400)</f>
        <v>27.174</v>
      </c>
      <c r="F449" s="48" t="n">
        <v>-54</v>
      </c>
      <c r="G449" s="48" t="n">
        <f aca="false">E449</f>
        <v>27.174</v>
      </c>
    </row>
    <row r="450" customFormat="false" ht="15" hidden="false" customHeight="false" outlineLevel="0" collapsed="false">
      <c r="A450" s="115"/>
      <c r="B450" s="4" t="s">
        <v>517</v>
      </c>
      <c r="C450" s="90" t="n">
        <f aca="false">S450+((T450/2)-($T$1/2))</f>
        <v>0</v>
      </c>
      <c r="D450" s="122" t="n">
        <f aca="false">$D$400</f>
        <v>5.6</v>
      </c>
      <c r="E450" s="129" t="n">
        <f aca="false">$E$400+(5*$J$400)</f>
        <v>27.174</v>
      </c>
      <c r="F450" s="48" t="n">
        <v>-54</v>
      </c>
      <c r="G450" s="48" t="n">
        <f aca="false">E450</f>
        <v>27.174</v>
      </c>
    </row>
    <row r="451" customFormat="false" ht="15" hidden="false" customHeight="false" outlineLevel="0" collapsed="false">
      <c r="A451" s="115"/>
      <c r="B451" s="4" t="s">
        <v>518</v>
      </c>
      <c r="C451" s="90" t="n">
        <f aca="false">S451+((T451/2)-($T$1/2))</f>
        <v>0</v>
      </c>
      <c r="D451" s="122" t="n">
        <f aca="false">$D$400+(1*$I$400)</f>
        <v>5.6</v>
      </c>
      <c r="E451" s="129" t="n">
        <f aca="false">$E$400+(5*$J$400)</f>
        <v>27.174</v>
      </c>
      <c r="F451" s="48" t="n">
        <v>-54</v>
      </c>
      <c r="G451" s="48" t="n">
        <f aca="false">E451</f>
        <v>27.174</v>
      </c>
    </row>
    <row r="452" customFormat="false" ht="15" hidden="false" customHeight="false" outlineLevel="0" collapsed="false">
      <c r="B452" s="4" t="s">
        <v>519</v>
      </c>
      <c r="C452" s="90" t="n">
        <f aca="false">S452+((T452/2)-($T$1/2))</f>
        <v>0</v>
      </c>
      <c r="D452" s="122" t="n">
        <f aca="false">$D$400+(2*$I$400)</f>
        <v>5.6</v>
      </c>
      <c r="E452" s="129" t="n">
        <f aca="false">$E$400+(5*$J$400)</f>
        <v>27.174</v>
      </c>
      <c r="F452" s="48" t="n">
        <v>-54</v>
      </c>
      <c r="G452" s="48" t="n">
        <f aca="false">E452</f>
        <v>27.174</v>
      </c>
    </row>
    <row r="453" customFormat="false" ht="15" hidden="false" customHeight="false" outlineLevel="0" collapsed="false">
      <c r="B453" s="4" t="s">
        <v>520</v>
      </c>
      <c r="C453" s="90" t="n">
        <f aca="false">S453+((T453/2)-($T$1/2))</f>
        <v>0</v>
      </c>
      <c r="D453" s="122" t="n">
        <f aca="false">$D$400+(3*$I$400)</f>
        <v>5.6</v>
      </c>
      <c r="E453" s="129" t="n">
        <f aca="false">$E$400+(5*$J$400)</f>
        <v>27.174</v>
      </c>
      <c r="F453" s="48" t="n">
        <v>-54</v>
      </c>
      <c r="G453" s="48" t="n">
        <f aca="false">E453</f>
        <v>27.174</v>
      </c>
    </row>
    <row r="454" customFormat="false" ht="15" hidden="false" customHeight="false" outlineLevel="0" collapsed="false">
      <c r="B454" s="4" t="s">
        <v>521</v>
      </c>
      <c r="C454" s="90" t="n">
        <f aca="false">S454+((T454/2)-($T$1/2))</f>
        <v>0</v>
      </c>
      <c r="D454" s="122" t="n">
        <f aca="false">$D$400+(4*$I$400)</f>
        <v>5.6</v>
      </c>
      <c r="E454" s="129" t="n">
        <f aca="false">$E$400+(5*$J$400)</f>
        <v>27.174</v>
      </c>
      <c r="F454" s="48" t="n">
        <v>-54</v>
      </c>
      <c r="G454" s="48" t="n">
        <f aca="false">E454</f>
        <v>27.174</v>
      </c>
    </row>
    <row r="455" customFormat="false" ht="15" hidden="false" customHeight="false" outlineLevel="0" collapsed="false">
      <c r="B455" s="4" t="s">
        <v>522</v>
      </c>
      <c r="C455" s="90" t="n">
        <f aca="false">S455+((T455/2)-($T$1/2))</f>
        <v>0</v>
      </c>
      <c r="D455" s="122" t="n">
        <f aca="false">$D$400+(5*$I$400)</f>
        <v>5.6</v>
      </c>
      <c r="E455" s="129" t="n">
        <f aca="false">$E$400+(5*$J$400)</f>
        <v>27.174</v>
      </c>
      <c r="F455" s="48" t="n">
        <v>-54</v>
      </c>
      <c r="G455" s="48" t="n">
        <f aca="false">E455</f>
        <v>27.174</v>
      </c>
    </row>
    <row r="456" customFormat="false" ht="15" hidden="false" customHeight="false" outlineLevel="0" collapsed="false">
      <c r="B456" s="130" t="s">
        <v>523</v>
      </c>
      <c r="C456" s="48" t="n">
        <v>18.990539353629</v>
      </c>
      <c r="D456" s="48" t="n">
        <v>66</v>
      </c>
      <c r="E456" s="48" t="n">
        <v>54.8</v>
      </c>
      <c r="F456" s="48" t="n">
        <v>66</v>
      </c>
      <c r="G456" s="48" t="n">
        <f aca="false">E456</f>
        <v>54.8</v>
      </c>
    </row>
    <row r="457" customFormat="false" ht="15" hidden="false" customHeight="false" outlineLevel="0" collapsed="false">
      <c r="B457" s="130"/>
    </row>
    <row r="458" customFormat="false" ht="15" hidden="false" customHeight="false" outlineLevel="0" collapsed="false">
      <c r="B458" s="4" t="s">
        <v>524</v>
      </c>
      <c r="C458" s="90" t="n">
        <f aca="false">S458+((T458/2)-($T$1/2))</f>
        <v>0</v>
      </c>
      <c r="D458" s="122" t="n">
        <f aca="false">$D$502-(4*$I$502)</f>
        <v>-34.31</v>
      </c>
      <c r="E458" s="48" t="n">
        <f aca="false">$E$502-(4*$J$502)</f>
        <v>55.3</v>
      </c>
      <c r="F458" s="48" t="n">
        <v>-54</v>
      </c>
      <c r="G458" s="48" t="n">
        <f aca="false">E458</f>
        <v>55.3</v>
      </c>
    </row>
    <row r="459" customFormat="false" ht="15" hidden="false" customHeight="false" outlineLevel="0" collapsed="false">
      <c r="B459" s="4" t="s">
        <v>525</v>
      </c>
      <c r="C459" s="90" t="n">
        <f aca="false">S459+((T459/2)-($T$1/2))</f>
        <v>0</v>
      </c>
      <c r="D459" s="122" t="n">
        <f aca="false">$D$502-(3*$I$502)</f>
        <v>-34.31</v>
      </c>
      <c r="E459" s="48" t="n">
        <f aca="false">$E$502-(4*$J$502)</f>
        <v>55.3</v>
      </c>
      <c r="F459" s="48" t="n">
        <v>-54</v>
      </c>
      <c r="G459" s="48" t="n">
        <f aca="false">E459</f>
        <v>55.3</v>
      </c>
    </row>
    <row r="460" customFormat="false" ht="15" hidden="false" customHeight="false" outlineLevel="0" collapsed="false">
      <c r="B460" s="4" t="s">
        <v>526</v>
      </c>
      <c r="C460" s="90" t="n">
        <f aca="false">S460+((T460/2)-($T$1/2))</f>
        <v>0</v>
      </c>
      <c r="D460" s="122" t="n">
        <f aca="false">$D$502-(2*$I$502)</f>
        <v>-34.31</v>
      </c>
      <c r="E460" s="48" t="n">
        <f aca="false">$E$502-(4*$J$502)</f>
        <v>55.3</v>
      </c>
      <c r="F460" s="48" t="n">
        <v>-54</v>
      </c>
      <c r="G460" s="48" t="n">
        <f aca="false">E460</f>
        <v>55.3</v>
      </c>
    </row>
    <row r="461" customFormat="false" ht="15" hidden="false" customHeight="false" outlineLevel="0" collapsed="false">
      <c r="A461" s="115"/>
      <c r="B461" s="4" t="s">
        <v>527</v>
      </c>
      <c r="C461" s="90" t="n">
        <f aca="false">S461+((T461/2)-($T$1/2))</f>
        <v>0</v>
      </c>
      <c r="D461" s="122" t="n">
        <f aca="false">$D$502-(1*$I$502)</f>
        <v>-34.31</v>
      </c>
      <c r="E461" s="48" t="n">
        <f aca="false">$E$502-(4*$J$502)</f>
        <v>55.3</v>
      </c>
      <c r="F461" s="48" t="n">
        <v>-54</v>
      </c>
      <c r="G461" s="48" t="n">
        <f aca="false">E461</f>
        <v>55.3</v>
      </c>
    </row>
    <row r="462" customFormat="false" ht="15" hidden="false" customHeight="false" outlineLevel="0" collapsed="false">
      <c r="A462" s="115"/>
      <c r="B462" s="4" t="s">
        <v>528</v>
      </c>
      <c r="C462" s="90" t="n">
        <f aca="false">S462+((T462/2)-($T$1/2))</f>
        <v>0</v>
      </c>
      <c r="D462" s="122" t="n">
        <f aca="false">$D$502</f>
        <v>-34.31</v>
      </c>
      <c r="E462" s="48" t="n">
        <f aca="false">$E$502-(4*$J$502)</f>
        <v>55.3</v>
      </c>
      <c r="F462" s="48" t="n">
        <v>-54</v>
      </c>
      <c r="G462" s="48" t="n">
        <f aca="false">E462</f>
        <v>55.3</v>
      </c>
    </row>
    <row r="463" customFormat="false" ht="15" hidden="false" customHeight="false" outlineLevel="0" collapsed="false">
      <c r="A463" s="115"/>
      <c r="B463" s="4" t="s">
        <v>529</v>
      </c>
      <c r="C463" s="90" t="n">
        <f aca="false">S463+((T463/2)-($T$1/2))</f>
        <v>0</v>
      </c>
      <c r="D463" s="122" t="n">
        <f aca="false">$D$502+(1*$I$502)</f>
        <v>-34.31</v>
      </c>
      <c r="E463" s="48" t="n">
        <f aca="false">$E$502-(4*$J$502)</f>
        <v>55.3</v>
      </c>
      <c r="F463" s="48" t="n">
        <v>-54</v>
      </c>
      <c r="G463" s="48" t="n">
        <f aca="false">E463</f>
        <v>55.3</v>
      </c>
    </row>
    <row r="464" customFormat="false" ht="15" hidden="false" customHeight="false" outlineLevel="0" collapsed="false">
      <c r="A464" s="115"/>
      <c r="B464" s="4" t="s">
        <v>530</v>
      </c>
      <c r="C464" s="90" t="n">
        <f aca="false">S464+((T464/2)-($T$1/2))</f>
        <v>0</v>
      </c>
      <c r="D464" s="122" t="n">
        <f aca="false">$D$502+(2*$I$502)</f>
        <v>-34.31</v>
      </c>
      <c r="E464" s="48" t="n">
        <f aca="false">$E$502-(4*$J$502)</f>
        <v>55.3</v>
      </c>
      <c r="F464" s="48" t="n">
        <v>-54</v>
      </c>
      <c r="G464" s="48" t="n">
        <f aca="false">E464</f>
        <v>55.3</v>
      </c>
    </row>
    <row r="465" customFormat="false" ht="15" hidden="false" customHeight="false" outlineLevel="0" collapsed="false">
      <c r="A465" s="115"/>
      <c r="B465" s="4" t="s">
        <v>531</v>
      </c>
      <c r="C465" s="90" t="n">
        <f aca="false">S465+((T465/2)-($T$1/2))</f>
        <v>0</v>
      </c>
      <c r="D465" s="122" t="n">
        <f aca="false">$D$502+(3*$I$502)</f>
        <v>-34.31</v>
      </c>
      <c r="E465" s="48" t="n">
        <f aca="false">$E$502-(4*$J$502)</f>
        <v>55.3</v>
      </c>
      <c r="F465" s="48" t="n">
        <v>-54</v>
      </c>
      <c r="G465" s="48" t="n">
        <f aca="false">E465</f>
        <v>55.3</v>
      </c>
    </row>
    <row r="466" customFormat="false" ht="15" hidden="false" customHeight="false" outlineLevel="0" collapsed="false">
      <c r="B466" s="4" t="s">
        <v>532</v>
      </c>
      <c r="C466" s="90" t="n">
        <f aca="false">S466+((T466/2)-($T$1/2))</f>
        <v>0</v>
      </c>
      <c r="D466" s="122" t="n">
        <f aca="false">$D$502+(4*$I$502)</f>
        <v>-34.31</v>
      </c>
      <c r="E466" s="48" t="n">
        <f aca="false">$E$502-(4*$J$502)</f>
        <v>55.3</v>
      </c>
      <c r="F466" s="48" t="n">
        <v>-54</v>
      </c>
      <c r="G466" s="48" t="n">
        <f aca="false">E466</f>
        <v>55.3</v>
      </c>
    </row>
    <row r="467" customFormat="false" ht="15" hidden="false" customHeight="false" outlineLevel="0" collapsed="false">
      <c r="A467" s="115"/>
      <c r="B467" s="4" t="s">
        <v>533</v>
      </c>
      <c r="C467" s="90" t="n">
        <f aca="false">S467+((T467/2)-($T$1/2))</f>
        <v>0</v>
      </c>
      <c r="D467" s="122" t="n">
        <f aca="false">$D$502+(5*$I$502)</f>
        <v>-34.31</v>
      </c>
      <c r="E467" s="48" t="n">
        <f aca="false">$E$502-(4*$J$502)</f>
        <v>55.3</v>
      </c>
      <c r="F467" s="48" t="n">
        <v>-54</v>
      </c>
      <c r="G467" s="48" t="n">
        <f aca="false">E467</f>
        <v>55.3</v>
      </c>
    </row>
    <row r="468" customFormat="false" ht="15" hidden="false" customHeight="false" outlineLevel="0" collapsed="false">
      <c r="A468" s="115"/>
      <c r="B468" s="4" t="s">
        <v>534</v>
      </c>
      <c r="C468" s="90" t="n">
        <f aca="false">S468+((T468/2)-($T$1/2))</f>
        <v>0</v>
      </c>
      <c r="D468" s="122" t="n">
        <f aca="false">$D$502-(4*$I$502)</f>
        <v>-34.31</v>
      </c>
      <c r="E468" s="48" t="n">
        <f aca="false">$E$502-(3*$J$502)</f>
        <v>55.3</v>
      </c>
      <c r="F468" s="48" t="n">
        <v>-54</v>
      </c>
      <c r="G468" s="48" t="n">
        <f aca="false">E468</f>
        <v>55.3</v>
      </c>
    </row>
    <row r="469" customFormat="false" ht="15" hidden="false" customHeight="false" outlineLevel="0" collapsed="false">
      <c r="A469" s="115"/>
      <c r="B469" s="4" t="s">
        <v>535</v>
      </c>
      <c r="C469" s="90" t="n">
        <f aca="false">S469+((T469/2)-($T$1/2))</f>
        <v>0</v>
      </c>
      <c r="D469" s="122" t="n">
        <f aca="false">$D$502-(3*$I$502)</f>
        <v>-34.31</v>
      </c>
      <c r="E469" s="48" t="n">
        <f aca="false">$E$502-(3*$J$502)</f>
        <v>55.3</v>
      </c>
      <c r="F469" s="48" t="n">
        <v>-54</v>
      </c>
      <c r="G469" s="48" t="n">
        <f aca="false">E469</f>
        <v>55.3</v>
      </c>
    </row>
    <row r="470" customFormat="false" ht="15" hidden="false" customHeight="false" outlineLevel="0" collapsed="false">
      <c r="A470" s="115"/>
      <c r="B470" s="4" t="s">
        <v>536</v>
      </c>
      <c r="C470" s="90" t="n">
        <f aca="false">S470+((T470/2)-($T$1/2))</f>
        <v>0</v>
      </c>
      <c r="D470" s="122" t="n">
        <f aca="false">$D$502-(2*$I$502)</f>
        <v>-34.31</v>
      </c>
      <c r="E470" s="48" t="n">
        <f aca="false">$E$502-(3*$J$502)</f>
        <v>55.3</v>
      </c>
      <c r="F470" s="48" t="n">
        <v>-54</v>
      </c>
      <c r="G470" s="48" t="n">
        <f aca="false">E470</f>
        <v>55.3</v>
      </c>
    </row>
    <row r="471" customFormat="false" ht="15" hidden="false" customHeight="false" outlineLevel="0" collapsed="false">
      <c r="A471" s="115"/>
      <c r="B471" s="4" t="s">
        <v>537</v>
      </c>
      <c r="C471" s="90" t="n">
        <f aca="false">S471+((T471/2)-($T$1/2))</f>
        <v>0</v>
      </c>
      <c r="D471" s="122" t="n">
        <f aca="false">$D$502-(1*$I$502)</f>
        <v>-34.31</v>
      </c>
      <c r="E471" s="48" t="n">
        <f aca="false">$E$502-(3*$J$502)</f>
        <v>55.3</v>
      </c>
      <c r="F471" s="48" t="n">
        <v>-54</v>
      </c>
      <c r="G471" s="48" t="n">
        <f aca="false">E471</f>
        <v>55.3</v>
      </c>
    </row>
    <row r="472" customFormat="false" ht="15" hidden="false" customHeight="false" outlineLevel="0" collapsed="false">
      <c r="B472" s="4" t="s">
        <v>538</v>
      </c>
      <c r="C472" s="90" t="n">
        <f aca="false">S472+((T472/2)-($T$1/2))</f>
        <v>0</v>
      </c>
      <c r="D472" s="122" t="n">
        <f aca="false">$D$502</f>
        <v>-34.31</v>
      </c>
      <c r="E472" s="48" t="n">
        <f aca="false">$E$502-(3*$J$502)</f>
        <v>55.3</v>
      </c>
      <c r="F472" s="48" t="n">
        <v>-54</v>
      </c>
      <c r="G472" s="48" t="n">
        <f aca="false">E472</f>
        <v>55.3</v>
      </c>
    </row>
    <row r="473" customFormat="false" ht="15" hidden="false" customHeight="false" outlineLevel="0" collapsed="false">
      <c r="A473" s="115"/>
      <c r="B473" s="4" t="s">
        <v>539</v>
      </c>
      <c r="C473" s="90" t="n">
        <f aca="false">S473+((T473/2)-($T$1/2))</f>
        <v>0</v>
      </c>
      <c r="D473" s="122" t="n">
        <f aca="false">$D$502+(1*$I$502)</f>
        <v>-34.31</v>
      </c>
      <c r="E473" s="48" t="n">
        <f aca="false">$E$502-(3*$J$502)</f>
        <v>55.3</v>
      </c>
      <c r="F473" s="48" t="n">
        <v>-54</v>
      </c>
      <c r="G473" s="48" t="n">
        <f aca="false">E473</f>
        <v>55.3</v>
      </c>
    </row>
    <row r="474" customFormat="false" ht="15" hidden="false" customHeight="false" outlineLevel="0" collapsed="false">
      <c r="A474" s="115"/>
      <c r="B474" s="4" t="s">
        <v>540</v>
      </c>
      <c r="C474" s="90" t="n">
        <f aca="false">S474+((T474/2)-($T$1/2))</f>
        <v>0</v>
      </c>
      <c r="D474" s="122" t="n">
        <f aca="false">$D$502+(2*$I$502)</f>
        <v>-34.31</v>
      </c>
      <c r="E474" s="48" t="n">
        <f aca="false">$E$502-(3*$J$502)</f>
        <v>55.3</v>
      </c>
      <c r="F474" s="48" t="n">
        <v>-54</v>
      </c>
      <c r="G474" s="48" t="n">
        <f aca="false">E474</f>
        <v>55.3</v>
      </c>
    </row>
    <row r="475" customFormat="false" ht="15" hidden="false" customHeight="false" outlineLevel="0" collapsed="false">
      <c r="A475" s="115"/>
      <c r="B475" s="4" t="s">
        <v>541</v>
      </c>
      <c r="C475" s="90" t="n">
        <f aca="false">S475+((T475/2)-($T$1/2))</f>
        <v>0</v>
      </c>
      <c r="D475" s="122" t="n">
        <f aca="false">$D$502+(3*$I$502)</f>
        <v>-34.31</v>
      </c>
      <c r="E475" s="48" t="n">
        <f aca="false">$E$502-(3*$J$502)</f>
        <v>55.3</v>
      </c>
      <c r="F475" s="48" t="n">
        <v>-54</v>
      </c>
      <c r="G475" s="48" t="n">
        <f aca="false">E475</f>
        <v>55.3</v>
      </c>
    </row>
    <row r="476" customFormat="false" ht="15" hidden="false" customHeight="false" outlineLevel="0" collapsed="false">
      <c r="A476" s="115"/>
      <c r="B476" s="4" t="s">
        <v>542</v>
      </c>
      <c r="C476" s="90" t="n">
        <f aca="false">S476+((T476/2)-($T$1/2))</f>
        <v>0</v>
      </c>
      <c r="D476" s="122" t="n">
        <f aca="false">$D$502+(4*$I$502)</f>
        <v>-34.31</v>
      </c>
      <c r="E476" s="48" t="n">
        <f aca="false">$E$502-(3*$J$502)</f>
        <v>55.3</v>
      </c>
      <c r="F476" s="48" t="n">
        <v>-54</v>
      </c>
      <c r="G476" s="48" t="n">
        <f aca="false">E476</f>
        <v>55.3</v>
      </c>
    </row>
    <row r="477" customFormat="false" ht="15" hidden="false" customHeight="false" outlineLevel="0" collapsed="false">
      <c r="A477" s="115"/>
      <c r="B477" s="4" t="s">
        <v>543</v>
      </c>
      <c r="C477" s="90" t="n">
        <f aca="false">S477+((T477/2)-($T$1/2))</f>
        <v>0</v>
      </c>
      <c r="D477" s="122" t="n">
        <f aca="false">$D$502+(5*$I$502)</f>
        <v>-34.31</v>
      </c>
      <c r="E477" s="48" t="n">
        <f aca="false">$E$502-(3*$J$502)</f>
        <v>55.3</v>
      </c>
      <c r="F477" s="48" t="n">
        <v>-54</v>
      </c>
      <c r="G477" s="48" t="n">
        <f aca="false">E477</f>
        <v>55.3</v>
      </c>
    </row>
    <row r="478" customFormat="false" ht="15" hidden="false" customHeight="false" outlineLevel="0" collapsed="false">
      <c r="B478" s="4" t="s">
        <v>544</v>
      </c>
      <c r="C478" s="90" t="n">
        <f aca="false">S478+((T478/2)-($T$1/2))</f>
        <v>0</v>
      </c>
      <c r="D478" s="122" t="n">
        <f aca="false">$D$502-(4*$I$502)</f>
        <v>-34.31</v>
      </c>
      <c r="E478" s="48" t="n">
        <f aca="false">$E$502-(2*$J$502)</f>
        <v>55.3</v>
      </c>
      <c r="F478" s="48" t="n">
        <v>-54</v>
      </c>
      <c r="G478" s="48" t="n">
        <f aca="false">E478</f>
        <v>55.3</v>
      </c>
    </row>
    <row r="479" customFormat="false" ht="15" hidden="false" customHeight="false" outlineLevel="0" collapsed="false">
      <c r="B479" s="4" t="s">
        <v>545</v>
      </c>
      <c r="C479" s="90" t="n">
        <f aca="false">S479+((T479/2)-($T$1/2))</f>
        <v>0</v>
      </c>
      <c r="D479" s="122" t="n">
        <f aca="false">$D$502-(3*$I$502)</f>
        <v>-34.31</v>
      </c>
      <c r="E479" s="48" t="n">
        <f aca="false">$E$502-(2*$J$502)</f>
        <v>55.3</v>
      </c>
      <c r="F479" s="48" t="n">
        <v>-54</v>
      </c>
      <c r="G479" s="48" t="n">
        <f aca="false">E479</f>
        <v>55.3</v>
      </c>
    </row>
    <row r="480" customFormat="false" ht="15" hidden="false" customHeight="false" outlineLevel="0" collapsed="false">
      <c r="B480" s="4" t="s">
        <v>546</v>
      </c>
      <c r="C480" s="90" t="n">
        <f aca="false">S480+((T480/2)-($T$1/2))</f>
        <v>0</v>
      </c>
      <c r="D480" s="122" t="n">
        <f aca="false">$D$502-(2*$I$502)</f>
        <v>-34.31</v>
      </c>
      <c r="E480" s="48" t="n">
        <f aca="false">$E$502-(2*$J$502)</f>
        <v>55.3</v>
      </c>
      <c r="F480" s="48" t="n">
        <v>-54</v>
      </c>
      <c r="G480" s="48" t="n">
        <f aca="false">E480</f>
        <v>55.3</v>
      </c>
    </row>
    <row r="481" customFormat="false" ht="15" hidden="false" customHeight="false" outlineLevel="0" collapsed="false">
      <c r="B481" s="4" t="s">
        <v>547</v>
      </c>
      <c r="C481" s="90" t="n">
        <f aca="false">S481+((T481/2)-($T$1/2))</f>
        <v>0</v>
      </c>
      <c r="D481" s="122" t="n">
        <f aca="false">$D$502-(1*$I$502)</f>
        <v>-34.31</v>
      </c>
      <c r="E481" s="48" t="n">
        <f aca="false">$E$502-(2*$J$502)</f>
        <v>55.3</v>
      </c>
      <c r="F481" s="48" t="n">
        <v>-54</v>
      </c>
      <c r="G481" s="48" t="n">
        <f aca="false">E481</f>
        <v>55.3</v>
      </c>
    </row>
    <row r="482" customFormat="false" ht="15" hidden="false" customHeight="false" outlineLevel="0" collapsed="false">
      <c r="B482" s="4" t="s">
        <v>548</v>
      </c>
      <c r="C482" s="90" t="n">
        <f aca="false">S482+((T482/2)-($T$1/2))</f>
        <v>0</v>
      </c>
      <c r="D482" s="122" t="n">
        <f aca="false">$D$502</f>
        <v>-34.31</v>
      </c>
      <c r="E482" s="48" t="n">
        <f aca="false">$E$502-(2*$J$502)</f>
        <v>55.3</v>
      </c>
      <c r="F482" s="48" t="n">
        <v>-54</v>
      </c>
      <c r="G482" s="48" t="n">
        <f aca="false">E482</f>
        <v>55.3</v>
      </c>
    </row>
    <row r="483" customFormat="false" ht="15" hidden="false" customHeight="false" outlineLevel="0" collapsed="false">
      <c r="B483" s="4" t="s">
        <v>549</v>
      </c>
      <c r="C483" s="90" t="n">
        <f aca="false">S483+((T483/2)-($T$1/2))</f>
        <v>0</v>
      </c>
      <c r="D483" s="122" t="n">
        <f aca="false">$D$502+(1*$I$502)</f>
        <v>-34.31</v>
      </c>
      <c r="E483" s="48" t="n">
        <f aca="false">$E$502-(2*$J$502)</f>
        <v>55.3</v>
      </c>
      <c r="F483" s="48" t="n">
        <v>-54</v>
      </c>
      <c r="G483" s="48" t="n">
        <f aca="false">E483</f>
        <v>55.3</v>
      </c>
    </row>
    <row r="484" customFormat="false" ht="15" hidden="false" customHeight="false" outlineLevel="0" collapsed="false">
      <c r="B484" s="4" t="s">
        <v>550</v>
      </c>
      <c r="C484" s="90" t="n">
        <f aca="false">S484+((T484/2)-($T$1/2))</f>
        <v>0</v>
      </c>
      <c r="D484" s="122" t="n">
        <f aca="false">$D$502+(2*$I$502)</f>
        <v>-34.31</v>
      </c>
      <c r="E484" s="48" t="n">
        <f aca="false">$E$502-(2*$J$502)</f>
        <v>55.3</v>
      </c>
      <c r="F484" s="48" t="n">
        <v>-54</v>
      </c>
      <c r="G484" s="48" t="n">
        <f aca="false">E484</f>
        <v>55.3</v>
      </c>
    </row>
    <row r="485" customFormat="false" ht="15" hidden="false" customHeight="false" outlineLevel="0" collapsed="false">
      <c r="B485" s="4" t="s">
        <v>551</v>
      </c>
      <c r="C485" s="90" t="n">
        <f aca="false">S485+((T485/2)-($T$1/2))</f>
        <v>0</v>
      </c>
      <c r="D485" s="122" t="n">
        <f aca="false">$D$502+(3*$I$502)</f>
        <v>-34.31</v>
      </c>
      <c r="E485" s="48" t="n">
        <f aca="false">$E$502-(2*$J$502)</f>
        <v>55.3</v>
      </c>
      <c r="F485" s="48" t="n">
        <v>-54</v>
      </c>
      <c r="G485" s="48" t="n">
        <f aca="false">E485</f>
        <v>55.3</v>
      </c>
    </row>
    <row r="486" customFormat="false" ht="15" hidden="false" customHeight="false" outlineLevel="0" collapsed="false">
      <c r="A486" s="115"/>
      <c r="B486" s="4" t="s">
        <v>552</v>
      </c>
      <c r="C486" s="90" t="n">
        <f aca="false">S486+((T486/2)-($T$1/2))</f>
        <v>0</v>
      </c>
      <c r="D486" s="122" t="n">
        <f aca="false">$D$502+(4*$I$502)</f>
        <v>-34.31</v>
      </c>
      <c r="E486" s="48" t="n">
        <f aca="false">$E$502-(2*$J$502)</f>
        <v>55.3</v>
      </c>
      <c r="F486" s="48" t="n">
        <v>-54</v>
      </c>
      <c r="G486" s="48" t="n">
        <f aca="false">E486</f>
        <v>55.3</v>
      </c>
    </row>
    <row r="487" customFormat="false" ht="15" hidden="false" customHeight="false" outlineLevel="0" collapsed="false">
      <c r="A487" s="115"/>
      <c r="B487" s="4" t="s">
        <v>553</v>
      </c>
      <c r="C487" s="90" t="n">
        <f aca="false">S487+((T487/2)-($T$1/2))</f>
        <v>0</v>
      </c>
      <c r="D487" s="122" t="n">
        <f aca="false">$D$502+(5*$I$502)</f>
        <v>-34.31</v>
      </c>
      <c r="E487" s="48" t="n">
        <f aca="false">$E$502-(2*$J$502)</f>
        <v>55.3</v>
      </c>
      <c r="F487" s="48" t="n">
        <v>-54</v>
      </c>
      <c r="G487" s="48" t="n">
        <f aca="false">E487</f>
        <v>55.3</v>
      </c>
    </row>
    <row r="488" customFormat="false" ht="15" hidden="false" customHeight="false" outlineLevel="0" collapsed="false">
      <c r="A488" s="115"/>
      <c r="B488" s="4" t="s">
        <v>554</v>
      </c>
      <c r="C488" s="90" t="n">
        <f aca="false">S488+((T488/2)-($T$1/2))</f>
        <v>0</v>
      </c>
      <c r="D488" s="122" t="n">
        <f aca="false">$D$502-(4*$I$502)</f>
        <v>-34.31</v>
      </c>
      <c r="E488" s="48" t="n">
        <f aca="false">$E$502-(1*$J$502)</f>
        <v>55.3</v>
      </c>
      <c r="F488" s="48" t="n">
        <v>-54</v>
      </c>
      <c r="G488" s="48" t="n">
        <f aca="false">E488</f>
        <v>55.3</v>
      </c>
    </row>
    <row r="489" customFormat="false" ht="15" hidden="false" customHeight="false" outlineLevel="0" collapsed="false">
      <c r="A489" s="115"/>
      <c r="B489" s="4" t="s">
        <v>555</v>
      </c>
      <c r="C489" s="90" t="n">
        <f aca="false">S489+((T489/2)-($T$1/2))</f>
        <v>0</v>
      </c>
      <c r="D489" s="122" t="n">
        <f aca="false">$D$502-(3*$I$502)</f>
        <v>-34.31</v>
      </c>
      <c r="E489" s="48" t="n">
        <f aca="false">$E$502-(1*$J$502)</f>
        <v>55.3</v>
      </c>
      <c r="F489" s="48" t="n">
        <v>-54</v>
      </c>
      <c r="G489" s="48" t="n">
        <f aca="false">E489</f>
        <v>55.3</v>
      </c>
    </row>
    <row r="490" customFormat="false" ht="15" hidden="false" customHeight="false" outlineLevel="0" collapsed="false">
      <c r="A490" s="115"/>
      <c r="B490" s="4" t="s">
        <v>556</v>
      </c>
      <c r="C490" s="90" t="n">
        <f aca="false">S490+((T490/2)-($T$1/2))</f>
        <v>0</v>
      </c>
      <c r="D490" s="122" t="n">
        <f aca="false">$D$502-(2*$I$502)</f>
        <v>-34.31</v>
      </c>
      <c r="E490" s="48" t="n">
        <f aca="false">$E$502-(1*$J$502)</f>
        <v>55.3</v>
      </c>
      <c r="F490" s="48" t="n">
        <v>-54</v>
      </c>
      <c r="G490" s="48" t="n">
        <f aca="false">E490</f>
        <v>55.3</v>
      </c>
    </row>
    <row r="491" customFormat="false" ht="15" hidden="false" customHeight="false" outlineLevel="0" collapsed="false">
      <c r="B491" s="4" t="s">
        <v>557</v>
      </c>
      <c r="C491" s="90" t="n">
        <f aca="false">S491+((T491/2)-($T$1/2))</f>
        <v>0</v>
      </c>
      <c r="D491" s="122" t="n">
        <f aca="false">$D$502-(1*$I$502)</f>
        <v>-34.31</v>
      </c>
      <c r="E491" s="48" t="n">
        <f aca="false">$E$502-(1*$J$502)</f>
        <v>55.3</v>
      </c>
      <c r="F491" s="48" t="n">
        <v>-54</v>
      </c>
      <c r="G491" s="48" t="n">
        <f aca="false">E491</f>
        <v>55.3</v>
      </c>
    </row>
    <row r="492" customFormat="false" ht="15" hidden="false" customHeight="false" outlineLevel="0" collapsed="false">
      <c r="A492" s="115"/>
      <c r="B492" s="4" t="s">
        <v>558</v>
      </c>
      <c r="C492" s="90" t="n">
        <f aca="false">S492+((T492/2)-($T$1/2))</f>
        <v>0</v>
      </c>
      <c r="D492" s="122" t="n">
        <f aca="false">$D$502</f>
        <v>-34.31</v>
      </c>
      <c r="E492" s="48" t="n">
        <f aca="false">$E$502-(1*$J$502)</f>
        <v>55.3</v>
      </c>
      <c r="F492" s="48" t="n">
        <v>-54</v>
      </c>
      <c r="G492" s="48" t="n">
        <f aca="false">E492</f>
        <v>55.3</v>
      </c>
    </row>
    <row r="493" customFormat="false" ht="15" hidden="false" customHeight="false" outlineLevel="0" collapsed="false">
      <c r="A493" s="115"/>
      <c r="B493" s="4" t="s">
        <v>559</v>
      </c>
      <c r="C493" s="90" t="n">
        <f aca="false">S493+((T493/2)-($T$1/2))</f>
        <v>0</v>
      </c>
      <c r="D493" s="122" t="n">
        <f aca="false">$D$502+(1*$I$502)</f>
        <v>-34.31</v>
      </c>
      <c r="E493" s="48" t="n">
        <f aca="false">$E$502-(1*$J$502)</f>
        <v>55.3</v>
      </c>
      <c r="F493" s="48" t="n">
        <v>-54</v>
      </c>
      <c r="G493" s="48" t="n">
        <f aca="false">E493</f>
        <v>55.3</v>
      </c>
    </row>
    <row r="494" customFormat="false" ht="15" hidden="false" customHeight="false" outlineLevel="0" collapsed="false">
      <c r="A494" s="115"/>
      <c r="B494" s="4" t="s">
        <v>560</v>
      </c>
      <c r="C494" s="90" t="n">
        <f aca="false">S494+((T494/2)-($T$1/2))</f>
        <v>0</v>
      </c>
      <c r="D494" s="122" t="n">
        <f aca="false">$D$502+(2*$I$502)</f>
        <v>-34.31</v>
      </c>
      <c r="E494" s="48" t="n">
        <f aca="false">$E$502-(1*$J$502)</f>
        <v>55.3</v>
      </c>
      <c r="F494" s="48" t="n">
        <v>-54</v>
      </c>
      <c r="G494" s="48" t="n">
        <f aca="false">E494</f>
        <v>55.3</v>
      </c>
    </row>
    <row r="495" customFormat="false" ht="15" hidden="false" customHeight="false" outlineLevel="0" collapsed="false">
      <c r="A495" s="115"/>
      <c r="B495" s="4" t="s">
        <v>561</v>
      </c>
      <c r="C495" s="90" t="n">
        <f aca="false">S495+((T495/2)-($T$1/2))</f>
        <v>0</v>
      </c>
      <c r="D495" s="122" t="n">
        <f aca="false">$D$502+(3*$I$502)</f>
        <v>-34.31</v>
      </c>
      <c r="E495" s="48" t="n">
        <f aca="false">$E$502-(1*$J$502)</f>
        <v>55.3</v>
      </c>
      <c r="F495" s="48" t="n">
        <v>-54</v>
      </c>
      <c r="G495" s="48" t="n">
        <f aca="false">E495</f>
        <v>55.3</v>
      </c>
    </row>
    <row r="496" customFormat="false" ht="15" hidden="false" customHeight="false" outlineLevel="0" collapsed="false">
      <c r="A496" s="115"/>
      <c r="B496" s="4" t="s">
        <v>562</v>
      </c>
      <c r="C496" s="90" t="n">
        <f aca="false">S496+((T496/2)-($T$1/2))</f>
        <v>0</v>
      </c>
      <c r="D496" s="122" t="n">
        <f aca="false">$D$502+(4*$I$502)</f>
        <v>-34.31</v>
      </c>
      <c r="E496" s="48" t="n">
        <f aca="false">$E$502-(1*$J$502)</f>
        <v>55.3</v>
      </c>
      <c r="F496" s="48" t="n">
        <v>-54</v>
      </c>
      <c r="G496" s="48" t="n">
        <f aca="false">E496</f>
        <v>55.3</v>
      </c>
    </row>
    <row r="497" customFormat="false" ht="15" hidden="false" customHeight="false" outlineLevel="0" collapsed="false">
      <c r="B497" s="4" t="s">
        <v>563</v>
      </c>
      <c r="C497" s="90" t="n">
        <f aca="false">S497+((T497/2)-($T$1/2))</f>
        <v>0</v>
      </c>
      <c r="D497" s="122" t="n">
        <f aca="false">$D$502+(5*$I$502)</f>
        <v>-34.31</v>
      </c>
      <c r="E497" s="48" t="n">
        <f aca="false">$E$502-(1*$J$502)</f>
        <v>55.3</v>
      </c>
      <c r="F497" s="48" t="n">
        <v>-54</v>
      </c>
      <c r="G497" s="48" t="n">
        <f aca="false">E497</f>
        <v>55.3</v>
      </c>
    </row>
    <row r="498" customFormat="false" ht="15" hidden="false" customHeight="false" outlineLevel="0" collapsed="false">
      <c r="A498" s="115"/>
      <c r="B498" s="4" t="s">
        <v>564</v>
      </c>
      <c r="C498" s="90" t="n">
        <f aca="false">S498+((T498/2)-($T$1/2))</f>
        <v>0</v>
      </c>
      <c r="D498" s="122" t="n">
        <f aca="false">$D$502-(4*$I$502)</f>
        <v>-34.31</v>
      </c>
      <c r="E498" s="48" t="n">
        <f aca="false">$E$502</f>
        <v>55.3</v>
      </c>
      <c r="F498" s="123" t="n">
        <v>-54</v>
      </c>
      <c r="G498" s="48" t="n">
        <f aca="false">E498</f>
        <v>55.3</v>
      </c>
    </row>
    <row r="499" customFormat="false" ht="15" hidden="false" customHeight="false" outlineLevel="0" collapsed="false">
      <c r="A499" s="115"/>
      <c r="B499" s="4" t="s">
        <v>565</v>
      </c>
      <c r="C499" s="90" t="n">
        <f aca="false">S499+((T499/2)-($T$1/2))</f>
        <v>0</v>
      </c>
      <c r="D499" s="122" t="n">
        <f aca="false">$D$502-(3*$I$502)</f>
        <v>-34.31</v>
      </c>
      <c r="E499" s="48" t="n">
        <f aca="false">$E$502</f>
        <v>55.3</v>
      </c>
      <c r="F499" s="123" t="n">
        <v>-54</v>
      </c>
      <c r="G499" s="48" t="n">
        <f aca="false">E499</f>
        <v>55.3</v>
      </c>
    </row>
    <row r="500" customFormat="false" ht="15" hidden="false" customHeight="false" outlineLevel="0" collapsed="false">
      <c r="A500" s="115"/>
      <c r="B500" s="4" t="s">
        <v>566</v>
      </c>
      <c r="C500" s="90" t="n">
        <f aca="false">S500+((T500/2)-($T$1/2))</f>
        <v>0</v>
      </c>
      <c r="D500" s="122" t="n">
        <f aca="false">$D$502-(2*$I$502)</f>
        <v>-34.31</v>
      </c>
      <c r="E500" s="48" t="n">
        <f aca="false">$E$502</f>
        <v>55.3</v>
      </c>
      <c r="F500" s="123" t="n">
        <v>-54</v>
      </c>
      <c r="G500" s="48" t="n">
        <f aca="false">E500</f>
        <v>55.3</v>
      </c>
    </row>
    <row r="501" customFormat="false" ht="15" hidden="false" customHeight="false" outlineLevel="0" collapsed="false">
      <c r="A501" s="115"/>
      <c r="B501" s="4" t="s">
        <v>567</v>
      </c>
      <c r="C501" s="90" t="n">
        <f aca="false">S501+((T501/2)-($T$1/2))</f>
        <v>0</v>
      </c>
      <c r="D501" s="122" t="n">
        <f aca="false">$D$502-(1*$I$502)</f>
        <v>-34.31</v>
      </c>
      <c r="E501" s="48" t="n">
        <f aca="false">$E$502</f>
        <v>55.3</v>
      </c>
      <c r="F501" s="123" t="n">
        <v>-54</v>
      </c>
      <c r="G501" s="48" t="n">
        <f aca="false">E501</f>
        <v>55.3</v>
      </c>
    </row>
    <row r="502" customFormat="false" ht="15" hidden="false" customHeight="false" outlineLevel="0" collapsed="false">
      <c r="A502" s="124"/>
      <c r="B502" s="131" t="s">
        <v>568</v>
      </c>
      <c r="C502" s="126" t="n">
        <f aca="false">S502+((T502/2)-($T$1/2))</f>
        <v>0</v>
      </c>
      <c r="D502" s="127" t="n">
        <v>-34.31</v>
      </c>
      <c r="E502" s="128" t="n">
        <v>55.3</v>
      </c>
      <c r="F502" s="123" t="n">
        <v>-54</v>
      </c>
      <c r="G502" s="48" t="n">
        <f aca="false">E502</f>
        <v>55.3</v>
      </c>
    </row>
    <row r="503" customFormat="false" ht="15" hidden="false" customHeight="false" outlineLevel="0" collapsed="false">
      <c r="B503" s="4" t="s">
        <v>569</v>
      </c>
      <c r="C503" s="90" t="n">
        <f aca="false">S503+((T503/2)-($T$1/2))</f>
        <v>0</v>
      </c>
      <c r="D503" s="122" t="n">
        <f aca="false">$D$502+(1*$I$502)</f>
        <v>-34.31</v>
      </c>
      <c r="E503" s="48" t="n">
        <f aca="false">$E$502</f>
        <v>55.3</v>
      </c>
      <c r="F503" s="123" t="n">
        <v>-54</v>
      </c>
      <c r="G503" s="48" t="n">
        <f aca="false">E503</f>
        <v>55.3</v>
      </c>
    </row>
    <row r="504" customFormat="false" ht="15" hidden="false" customHeight="false" outlineLevel="0" collapsed="false">
      <c r="B504" s="4" t="s">
        <v>570</v>
      </c>
      <c r="C504" s="90" t="n">
        <f aca="false">S504+((T504/2)-($T$1/2))</f>
        <v>0</v>
      </c>
      <c r="D504" s="122" t="n">
        <f aca="false">$D$502+(2*$I$502)</f>
        <v>-34.31</v>
      </c>
      <c r="E504" s="48" t="n">
        <f aca="false">$E$502</f>
        <v>55.3</v>
      </c>
      <c r="F504" s="123" t="n">
        <v>-54</v>
      </c>
      <c r="G504" s="48" t="n">
        <f aca="false">E504</f>
        <v>55.3</v>
      </c>
    </row>
    <row r="505" customFormat="false" ht="15" hidden="false" customHeight="false" outlineLevel="0" collapsed="false">
      <c r="B505" s="4" t="s">
        <v>571</v>
      </c>
      <c r="C505" s="90" t="n">
        <f aca="false">S505+((T505/2)-($T$1/2))</f>
        <v>0</v>
      </c>
      <c r="D505" s="122" t="n">
        <f aca="false">$D$502+(3*$I$502)</f>
        <v>-34.31</v>
      </c>
      <c r="E505" s="48" t="n">
        <f aca="false">$E$502</f>
        <v>55.3</v>
      </c>
      <c r="F505" s="123" t="n">
        <v>-54</v>
      </c>
      <c r="G505" s="48" t="n">
        <f aca="false">E505</f>
        <v>55.3</v>
      </c>
    </row>
    <row r="506" customFormat="false" ht="15" hidden="false" customHeight="false" outlineLevel="0" collapsed="false">
      <c r="B506" s="4" t="s">
        <v>572</v>
      </c>
      <c r="C506" s="90" t="n">
        <f aca="false">S506+((T506/2)-($T$1/2))</f>
        <v>0</v>
      </c>
      <c r="D506" s="122" t="n">
        <f aca="false">$D$502+(4*$I$502)</f>
        <v>-34.31</v>
      </c>
      <c r="E506" s="48" t="n">
        <f aca="false">$E$502</f>
        <v>55.3</v>
      </c>
      <c r="F506" s="123" t="n">
        <v>-54</v>
      </c>
      <c r="G506" s="48" t="n">
        <f aca="false">E506</f>
        <v>55.3</v>
      </c>
    </row>
    <row r="507" customFormat="false" ht="15" hidden="false" customHeight="false" outlineLevel="0" collapsed="false">
      <c r="B507" s="4" t="s">
        <v>573</v>
      </c>
      <c r="C507" s="90" t="n">
        <f aca="false">S507+((T507/2)-($T$1/2))</f>
        <v>0</v>
      </c>
      <c r="D507" s="122" t="n">
        <f aca="false">$D$502+(5*$I$502)</f>
        <v>-34.31</v>
      </c>
      <c r="E507" s="48" t="n">
        <f aca="false">$E$502</f>
        <v>55.3</v>
      </c>
      <c r="F507" s="123" t="n">
        <v>-54</v>
      </c>
      <c r="G507" s="48" t="n">
        <f aca="false">E507</f>
        <v>55.3</v>
      </c>
    </row>
    <row r="508" customFormat="false" ht="15" hidden="false" customHeight="false" outlineLevel="0" collapsed="false">
      <c r="B508" s="4" t="s">
        <v>574</v>
      </c>
      <c r="C508" s="90" t="n">
        <f aca="false">S508+((T508/2)-($T$1/2))</f>
        <v>0</v>
      </c>
      <c r="D508" s="122" t="n">
        <f aca="false">$D$502-(4*$I$502)</f>
        <v>-34.31</v>
      </c>
      <c r="E508" s="129" t="n">
        <f aca="false">$E$502+(1*$J$502)</f>
        <v>55.3</v>
      </c>
      <c r="F508" s="48" t="n">
        <v>-54</v>
      </c>
      <c r="G508" s="48" t="n">
        <f aca="false">E508</f>
        <v>55.3</v>
      </c>
    </row>
    <row r="509" customFormat="false" ht="15" hidden="false" customHeight="false" outlineLevel="0" collapsed="false">
      <c r="B509" s="4" t="s">
        <v>575</v>
      </c>
      <c r="C509" s="90" t="n">
        <f aca="false">S509+((T509/2)-($T$1/2))</f>
        <v>0</v>
      </c>
      <c r="D509" s="122" t="n">
        <f aca="false">$D$502-(3*$I$502)</f>
        <v>-34.31</v>
      </c>
      <c r="E509" s="129" t="n">
        <f aca="false">$E$502+(1*$J$502)</f>
        <v>55.3</v>
      </c>
      <c r="F509" s="48" t="n">
        <v>-54</v>
      </c>
      <c r="G509" s="48" t="n">
        <f aca="false">E509</f>
        <v>55.3</v>
      </c>
    </row>
    <row r="510" customFormat="false" ht="15" hidden="false" customHeight="false" outlineLevel="0" collapsed="false">
      <c r="B510" s="4" t="s">
        <v>576</v>
      </c>
      <c r="C510" s="90" t="n">
        <f aca="false">S510+((T510/2)-($T$1/2))</f>
        <v>0</v>
      </c>
      <c r="D510" s="122" t="n">
        <f aca="false">$D$502-(2*$I$502)</f>
        <v>-34.31</v>
      </c>
      <c r="E510" s="129" t="n">
        <f aca="false">$E$502+(1*$J$502)</f>
        <v>55.3</v>
      </c>
      <c r="F510" s="48" t="n">
        <v>-54</v>
      </c>
      <c r="G510" s="48" t="n">
        <f aca="false">E510</f>
        <v>55.3</v>
      </c>
    </row>
    <row r="511" customFormat="false" ht="15" hidden="false" customHeight="false" outlineLevel="0" collapsed="false">
      <c r="A511" s="115"/>
      <c r="B511" s="4" t="s">
        <v>577</v>
      </c>
      <c r="C511" s="90" t="n">
        <f aca="false">S511+((T511/2)-($T$1/2))</f>
        <v>0</v>
      </c>
      <c r="D511" s="122" t="n">
        <f aca="false">$D$502-(1*$I$502)</f>
        <v>-34.31</v>
      </c>
      <c r="E511" s="129" t="n">
        <f aca="false">$E$502+(1*$J$502)</f>
        <v>55.3</v>
      </c>
      <c r="F511" s="48" t="n">
        <v>-54</v>
      </c>
      <c r="G511" s="48" t="n">
        <f aca="false">E511</f>
        <v>55.3</v>
      </c>
    </row>
    <row r="512" customFormat="false" ht="15" hidden="false" customHeight="false" outlineLevel="0" collapsed="false">
      <c r="A512" s="115"/>
      <c r="B512" s="4" t="s">
        <v>578</v>
      </c>
      <c r="C512" s="90" t="n">
        <f aca="false">S512+((T512/2)-($T$1/2))</f>
        <v>0</v>
      </c>
      <c r="D512" s="122" t="n">
        <f aca="false">$D$502</f>
        <v>-34.31</v>
      </c>
      <c r="E512" s="129" t="n">
        <f aca="false">$E$502+(1*$J$502)</f>
        <v>55.3</v>
      </c>
      <c r="F512" s="48" t="n">
        <v>-54</v>
      </c>
      <c r="G512" s="48" t="n">
        <f aca="false">E512</f>
        <v>55.3</v>
      </c>
    </row>
    <row r="513" customFormat="false" ht="15" hidden="false" customHeight="false" outlineLevel="0" collapsed="false">
      <c r="A513" s="115"/>
      <c r="B513" s="4" t="s">
        <v>579</v>
      </c>
      <c r="C513" s="90" t="n">
        <f aca="false">S513+((T513/2)-($T$1/2))</f>
        <v>0</v>
      </c>
      <c r="D513" s="122" t="n">
        <f aca="false">$D$502+(1*$I$502)</f>
        <v>-34.31</v>
      </c>
      <c r="E513" s="129" t="n">
        <f aca="false">$E$502+(1*$J$502)</f>
        <v>55.3</v>
      </c>
      <c r="F513" s="48" t="n">
        <v>-54</v>
      </c>
      <c r="G513" s="48" t="n">
        <f aca="false">E513</f>
        <v>55.3</v>
      </c>
    </row>
    <row r="514" customFormat="false" ht="15" hidden="false" customHeight="false" outlineLevel="0" collapsed="false">
      <c r="A514" s="115"/>
      <c r="B514" s="4" t="s">
        <v>580</v>
      </c>
      <c r="C514" s="90" t="n">
        <f aca="false">S514+((T514/2)-($T$1/2))</f>
        <v>0</v>
      </c>
      <c r="D514" s="122" t="n">
        <f aca="false">$D$502+(2*$I$502)</f>
        <v>-34.31</v>
      </c>
      <c r="E514" s="129" t="n">
        <f aca="false">$E$502+(1*$J$502)</f>
        <v>55.3</v>
      </c>
      <c r="F514" s="48" t="n">
        <v>-54</v>
      </c>
      <c r="G514" s="48" t="n">
        <f aca="false">E514</f>
        <v>55.3</v>
      </c>
    </row>
    <row r="515" customFormat="false" ht="15" hidden="false" customHeight="false" outlineLevel="0" collapsed="false">
      <c r="A515" s="115"/>
      <c r="B515" s="4" t="s">
        <v>581</v>
      </c>
      <c r="C515" s="90" t="n">
        <f aca="false">S515+((T515/2)-($T$1/2))</f>
        <v>0</v>
      </c>
      <c r="D515" s="122" t="n">
        <f aca="false">$D$502+(3*$I$502)</f>
        <v>-34.31</v>
      </c>
      <c r="E515" s="129" t="n">
        <f aca="false">$E$502+(1*$J$502)</f>
        <v>55.3</v>
      </c>
      <c r="F515" s="48" t="n">
        <v>-54</v>
      </c>
      <c r="G515" s="48" t="n">
        <f aca="false">E515</f>
        <v>55.3</v>
      </c>
    </row>
    <row r="516" customFormat="false" ht="15" hidden="false" customHeight="false" outlineLevel="0" collapsed="false">
      <c r="B516" s="4" t="s">
        <v>582</v>
      </c>
      <c r="C516" s="90" t="n">
        <f aca="false">S516+((T516/2)-($T$1/2))</f>
        <v>0</v>
      </c>
      <c r="D516" s="122" t="n">
        <f aca="false">$D$502+(4*$I$502)</f>
        <v>-34.31</v>
      </c>
      <c r="E516" s="129" t="n">
        <f aca="false">$E$502+(1*$J$502)</f>
        <v>55.3</v>
      </c>
      <c r="F516" s="48" t="n">
        <v>-54</v>
      </c>
      <c r="G516" s="48" t="n">
        <f aca="false">E516</f>
        <v>55.3</v>
      </c>
    </row>
    <row r="517" customFormat="false" ht="15" hidden="false" customHeight="false" outlineLevel="0" collapsed="false">
      <c r="A517" s="115"/>
      <c r="B517" s="4" t="s">
        <v>583</v>
      </c>
      <c r="C517" s="90" t="n">
        <f aca="false">S517+((T517/2)-($T$1/2))</f>
        <v>0</v>
      </c>
      <c r="D517" s="122" t="n">
        <f aca="false">$D$502+(5*$I$502)</f>
        <v>-34.31</v>
      </c>
      <c r="E517" s="129" t="n">
        <f aca="false">$E$502+(1*$J$502)</f>
        <v>55.3</v>
      </c>
      <c r="F517" s="48" t="n">
        <v>-54</v>
      </c>
      <c r="G517" s="48" t="n">
        <f aca="false">E517</f>
        <v>55.3</v>
      </c>
    </row>
    <row r="518" customFormat="false" ht="15" hidden="false" customHeight="false" outlineLevel="0" collapsed="false">
      <c r="A518" s="115"/>
      <c r="B518" s="4" t="s">
        <v>584</v>
      </c>
      <c r="C518" s="90" t="n">
        <f aca="false">S518+((T518/2)-($T$1/2))</f>
        <v>0</v>
      </c>
      <c r="D518" s="122" t="n">
        <f aca="false">$D$502-(4*$I$502)</f>
        <v>-34.31</v>
      </c>
      <c r="E518" s="129" t="n">
        <f aca="false">$E$502+(2*$J$502)</f>
        <v>55.3</v>
      </c>
      <c r="F518" s="48" t="n">
        <v>-54</v>
      </c>
      <c r="G518" s="48" t="n">
        <f aca="false">E518</f>
        <v>55.3</v>
      </c>
    </row>
    <row r="519" customFormat="false" ht="15" hidden="false" customHeight="false" outlineLevel="0" collapsed="false">
      <c r="A519" s="115"/>
      <c r="B519" s="4" t="s">
        <v>585</v>
      </c>
      <c r="C519" s="90" t="n">
        <f aca="false">S519+((T519/2)-($T$1/2))</f>
        <v>0</v>
      </c>
      <c r="D519" s="122" t="n">
        <f aca="false">$D$502-(3*$I$502)</f>
        <v>-34.31</v>
      </c>
      <c r="E519" s="129" t="n">
        <f aca="false">$E$502+(2*$J$502)</f>
        <v>55.3</v>
      </c>
      <c r="F519" s="48" t="n">
        <v>-54</v>
      </c>
      <c r="G519" s="48" t="n">
        <f aca="false">E519</f>
        <v>55.3</v>
      </c>
    </row>
    <row r="520" customFormat="false" ht="15" hidden="false" customHeight="false" outlineLevel="0" collapsed="false">
      <c r="A520" s="115"/>
      <c r="B520" s="4" t="s">
        <v>586</v>
      </c>
      <c r="C520" s="90" t="n">
        <f aca="false">S520+((T520/2)-($T$1/2))</f>
        <v>0</v>
      </c>
      <c r="D520" s="122" t="n">
        <f aca="false">$D$502-(2*$I$502)</f>
        <v>-34.31</v>
      </c>
      <c r="E520" s="129" t="n">
        <f aca="false">$E$502+(2*$J$502)</f>
        <v>55.3</v>
      </c>
      <c r="F520" s="48" t="n">
        <v>-54</v>
      </c>
      <c r="G520" s="48" t="n">
        <f aca="false">E520</f>
        <v>55.3</v>
      </c>
    </row>
    <row r="521" customFormat="false" ht="15" hidden="false" customHeight="false" outlineLevel="0" collapsed="false">
      <c r="A521" s="115"/>
      <c r="B521" s="4" t="s">
        <v>587</v>
      </c>
      <c r="C521" s="90" t="n">
        <f aca="false">S521+((T521/2)-($T$1/2))</f>
        <v>0</v>
      </c>
      <c r="D521" s="122" t="n">
        <f aca="false">$D$502-(1*$I$502)</f>
        <v>-34.31</v>
      </c>
      <c r="E521" s="129" t="n">
        <f aca="false">$E$502+(2*$J$502)</f>
        <v>55.3</v>
      </c>
      <c r="F521" s="48" t="n">
        <v>-54</v>
      </c>
      <c r="G521" s="48" t="n">
        <f aca="false">E521</f>
        <v>55.3</v>
      </c>
    </row>
    <row r="522" customFormat="false" ht="15" hidden="false" customHeight="false" outlineLevel="0" collapsed="false">
      <c r="B522" s="4" t="s">
        <v>588</v>
      </c>
      <c r="C522" s="90" t="n">
        <f aca="false">S522+((T522/2)-($T$1/2))</f>
        <v>0</v>
      </c>
      <c r="D522" s="122" t="n">
        <f aca="false">$D$502</f>
        <v>-34.31</v>
      </c>
      <c r="E522" s="129" t="n">
        <f aca="false">$E$502+(2*$J$502)</f>
        <v>55.3</v>
      </c>
      <c r="F522" s="48" t="n">
        <v>-54</v>
      </c>
      <c r="G522" s="48" t="n">
        <f aca="false">E522</f>
        <v>55.3</v>
      </c>
    </row>
    <row r="523" customFormat="false" ht="15" hidden="false" customHeight="false" outlineLevel="0" collapsed="false">
      <c r="A523" s="115"/>
      <c r="B523" s="4" t="s">
        <v>589</v>
      </c>
      <c r="C523" s="90" t="n">
        <f aca="false">S523+((T523/2)-($T$1/2))</f>
        <v>0</v>
      </c>
      <c r="D523" s="122" t="n">
        <f aca="false">$D$502+(1*$I$502)</f>
        <v>-34.31</v>
      </c>
      <c r="E523" s="129" t="n">
        <f aca="false">$E$502+(2*$J$502)</f>
        <v>55.3</v>
      </c>
      <c r="F523" s="48" t="n">
        <v>-54</v>
      </c>
      <c r="G523" s="48" t="n">
        <f aca="false">E523</f>
        <v>55.3</v>
      </c>
    </row>
    <row r="524" customFormat="false" ht="15" hidden="false" customHeight="false" outlineLevel="0" collapsed="false">
      <c r="A524" s="115"/>
      <c r="B524" s="4" t="s">
        <v>590</v>
      </c>
      <c r="C524" s="90" t="n">
        <f aca="false">S524+((T524/2)-($T$1/2))</f>
        <v>0</v>
      </c>
      <c r="D524" s="122" t="n">
        <f aca="false">$D$502+(2*$I$502)</f>
        <v>-34.31</v>
      </c>
      <c r="E524" s="129" t="n">
        <f aca="false">$E$502+(2*$J$502)</f>
        <v>55.3</v>
      </c>
      <c r="F524" s="48" t="n">
        <v>-54</v>
      </c>
      <c r="G524" s="48" t="n">
        <f aca="false">E524</f>
        <v>55.3</v>
      </c>
    </row>
    <row r="525" customFormat="false" ht="15" hidden="false" customHeight="false" outlineLevel="0" collapsed="false">
      <c r="A525" s="115"/>
      <c r="B525" s="4" t="s">
        <v>591</v>
      </c>
      <c r="C525" s="90" t="n">
        <f aca="false">S525+((T525/2)-($T$1/2))</f>
        <v>0</v>
      </c>
      <c r="D525" s="122" t="n">
        <f aca="false">$D$502+(3*$I$502)</f>
        <v>-34.31</v>
      </c>
      <c r="E525" s="129" t="n">
        <f aca="false">$E$502+(2*$J$502)</f>
        <v>55.3</v>
      </c>
      <c r="F525" s="48" t="n">
        <v>-54</v>
      </c>
      <c r="G525" s="48" t="n">
        <f aca="false">E525</f>
        <v>55.3</v>
      </c>
    </row>
    <row r="526" customFormat="false" ht="15" hidden="false" customHeight="false" outlineLevel="0" collapsed="false">
      <c r="A526" s="115"/>
      <c r="B526" s="4" t="s">
        <v>592</v>
      </c>
      <c r="C526" s="90" t="n">
        <f aca="false">S526+((T526/2)-($T$1/2))</f>
        <v>0</v>
      </c>
      <c r="D526" s="122" t="n">
        <f aca="false">$D$502+(4*$I$502)</f>
        <v>-34.31</v>
      </c>
      <c r="E526" s="129" t="n">
        <f aca="false">$E$502+(2*$J$502)</f>
        <v>55.3</v>
      </c>
      <c r="F526" s="48" t="n">
        <v>-54</v>
      </c>
      <c r="G526" s="48" t="n">
        <f aca="false">E526</f>
        <v>55.3</v>
      </c>
    </row>
    <row r="527" customFormat="false" ht="15" hidden="false" customHeight="false" outlineLevel="0" collapsed="false">
      <c r="A527" s="115"/>
      <c r="B527" s="4" t="s">
        <v>593</v>
      </c>
      <c r="C527" s="90" t="n">
        <f aca="false">S527+((T527/2)-($T$1/2))</f>
        <v>0</v>
      </c>
      <c r="D527" s="122" t="n">
        <f aca="false">$D$502+(5*$I$502)</f>
        <v>-34.31</v>
      </c>
      <c r="E527" s="129" t="n">
        <f aca="false">$E$502+(2*$J$502)</f>
        <v>55.3</v>
      </c>
      <c r="F527" s="48" t="n">
        <v>-54</v>
      </c>
      <c r="G527" s="48" t="n">
        <f aca="false">E527</f>
        <v>55.3</v>
      </c>
    </row>
    <row r="528" customFormat="false" ht="15" hidden="false" customHeight="false" outlineLevel="0" collapsed="false">
      <c r="B528" s="4" t="s">
        <v>594</v>
      </c>
      <c r="C528" s="90" t="n">
        <f aca="false">S528+((T528/2)-($T$1/2))</f>
        <v>0</v>
      </c>
      <c r="D528" s="122" t="n">
        <f aca="false">$D$502-(4*$I$502)</f>
        <v>-34.31</v>
      </c>
      <c r="E528" s="129" t="n">
        <f aca="false">$E$502+(3*$J$502)</f>
        <v>55.3</v>
      </c>
      <c r="F528" s="48" t="n">
        <v>-54</v>
      </c>
      <c r="G528" s="48" t="n">
        <f aca="false">E528</f>
        <v>55.3</v>
      </c>
    </row>
    <row r="529" customFormat="false" ht="15" hidden="false" customHeight="false" outlineLevel="0" collapsed="false">
      <c r="B529" s="4" t="s">
        <v>595</v>
      </c>
      <c r="C529" s="90" t="n">
        <f aca="false">S529+((T529/2)-($T$1/2))</f>
        <v>0</v>
      </c>
      <c r="D529" s="122" t="n">
        <f aca="false">$D$502-(3*$I$502)</f>
        <v>-34.31</v>
      </c>
      <c r="E529" s="129" t="n">
        <f aca="false">$E$502+(3*$J$502)</f>
        <v>55.3</v>
      </c>
      <c r="F529" s="48" t="n">
        <v>-54</v>
      </c>
      <c r="G529" s="48" t="n">
        <f aca="false">E529</f>
        <v>55.3</v>
      </c>
    </row>
    <row r="530" customFormat="false" ht="15" hidden="false" customHeight="false" outlineLevel="0" collapsed="false">
      <c r="B530" s="4" t="s">
        <v>596</v>
      </c>
      <c r="C530" s="90" t="n">
        <f aca="false">S530+((T530/2)-($T$1/2))</f>
        <v>0</v>
      </c>
      <c r="D530" s="122" t="n">
        <f aca="false">$D$502-(2*$I$502)</f>
        <v>-34.31</v>
      </c>
      <c r="E530" s="129" t="n">
        <f aca="false">$E$502+(3*$J$502)</f>
        <v>55.3</v>
      </c>
      <c r="F530" s="48" t="n">
        <v>-54</v>
      </c>
      <c r="G530" s="48" t="n">
        <f aca="false">E530</f>
        <v>55.3</v>
      </c>
    </row>
    <row r="531" customFormat="false" ht="15" hidden="false" customHeight="false" outlineLevel="0" collapsed="false">
      <c r="B531" s="4" t="s">
        <v>597</v>
      </c>
      <c r="C531" s="90" t="n">
        <f aca="false">S531+((T531/2)-($T$1/2))</f>
        <v>0</v>
      </c>
      <c r="D531" s="122" t="n">
        <f aca="false">$D$502-(1*$I$502)</f>
        <v>-34.31</v>
      </c>
      <c r="E531" s="129" t="n">
        <f aca="false">$E$502+(3*$J$502)</f>
        <v>55.3</v>
      </c>
      <c r="F531" s="48" t="n">
        <v>-54</v>
      </c>
      <c r="G531" s="48" t="n">
        <f aca="false">E531</f>
        <v>55.3</v>
      </c>
    </row>
    <row r="532" customFormat="false" ht="15" hidden="false" customHeight="false" outlineLevel="0" collapsed="false">
      <c r="B532" s="4" t="s">
        <v>598</v>
      </c>
      <c r="C532" s="90" t="n">
        <f aca="false">S532+((T532/2)-($T$1/2))</f>
        <v>0</v>
      </c>
      <c r="D532" s="122" t="n">
        <f aca="false">$D$502</f>
        <v>-34.31</v>
      </c>
      <c r="E532" s="129" t="n">
        <f aca="false">$E$502+(3*$J$502)</f>
        <v>55.3</v>
      </c>
      <c r="F532" s="48" t="n">
        <v>-54</v>
      </c>
      <c r="G532" s="48" t="n">
        <f aca="false">E532</f>
        <v>55.3</v>
      </c>
    </row>
    <row r="533" customFormat="false" ht="15" hidden="false" customHeight="false" outlineLevel="0" collapsed="false">
      <c r="B533" s="4" t="s">
        <v>599</v>
      </c>
      <c r="C533" s="90" t="n">
        <f aca="false">S533+((T533/2)-($T$1/2))</f>
        <v>0</v>
      </c>
      <c r="D533" s="122" t="n">
        <f aca="false">$D$502+(1*$I$502)</f>
        <v>-34.31</v>
      </c>
      <c r="E533" s="129" t="n">
        <f aca="false">$E$502+(3*$J$502)</f>
        <v>55.3</v>
      </c>
      <c r="F533" s="48" t="n">
        <v>-54</v>
      </c>
      <c r="G533" s="48" t="n">
        <f aca="false">E533</f>
        <v>55.3</v>
      </c>
    </row>
    <row r="534" customFormat="false" ht="15" hidden="false" customHeight="false" outlineLevel="0" collapsed="false">
      <c r="B534" s="4" t="s">
        <v>600</v>
      </c>
      <c r="C534" s="90" t="n">
        <f aca="false">S534+((T534/2)-($T$1/2))</f>
        <v>0</v>
      </c>
      <c r="D534" s="122" t="n">
        <f aca="false">$D$502+(2*$I$502)</f>
        <v>-34.31</v>
      </c>
      <c r="E534" s="129" t="n">
        <f aca="false">$E$502+(3*$J$502)</f>
        <v>55.3</v>
      </c>
      <c r="F534" s="48" t="n">
        <v>-54</v>
      </c>
      <c r="G534" s="48" t="n">
        <f aca="false">E534</f>
        <v>55.3</v>
      </c>
    </row>
    <row r="535" customFormat="false" ht="15" hidden="false" customHeight="false" outlineLevel="0" collapsed="false">
      <c r="B535" s="4" t="s">
        <v>601</v>
      </c>
      <c r="C535" s="90" t="n">
        <f aca="false">S535+((T535/2)-($T$1/2))</f>
        <v>0</v>
      </c>
      <c r="D535" s="122" t="n">
        <f aca="false">$D$502+(3*$I$502)</f>
        <v>-34.31</v>
      </c>
      <c r="E535" s="129" t="n">
        <f aca="false">$E$502+(3*$J$502)</f>
        <v>55.3</v>
      </c>
      <c r="F535" s="48" t="n">
        <v>-54</v>
      </c>
      <c r="G535" s="48" t="n">
        <f aca="false">E535</f>
        <v>55.3</v>
      </c>
    </row>
    <row r="536" customFormat="false" ht="15" hidden="false" customHeight="false" outlineLevel="0" collapsed="false">
      <c r="B536" s="4" t="s">
        <v>602</v>
      </c>
      <c r="C536" s="90" t="n">
        <f aca="false">S536+((T536/2)-($T$1/2))</f>
        <v>0</v>
      </c>
      <c r="D536" s="122" t="n">
        <f aca="false">$D$502+(4*$I$502)</f>
        <v>-34.31</v>
      </c>
      <c r="E536" s="129" t="n">
        <f aca="false">$E$502+(3*$J$502)</f>
        <v>55.3</v>
      </c>
      <c r="F536" s="48" t="n">
        <v>-54</v>
      </c>
      <c r="G536" s="48" t="n">
        <f aca="false">E536</f>
        <v>55.3</v>
      </c>
    </row>
    <row r="537" customFormat="false" ht="15" hidden="false" customHeight="false" outlineLevel="0" collapsed="false">
      <c r="A537" s="115"/>
      <c r="B537" s="4" t="s">
        <v>603</v>
      </c>
      <c r="C537" s="90" t="n">
        <f aca="false">S537+((T537/2)-($T$1/2))</f>
        <v>0</v>
      </c>
      <c r="D537" s="122" t="n">
        <f aca="false">$D$502+(5*$I$502)</f>
        <v>-34.31</v>
      </c>
      <c r="E537" s="129" t="n">
        <f aca="false">$E$502+(3*$J$502)</f>
        <v>55.3</v>
      </c>
      <c r="F537" s="48" t="n">
        <v>-54</v>
      </c>
      <c r="G537" s="48" t="n">
        <f aca="false">E537</f>
        <v>55.3</v>
      </c>
    </row>
    <row r="538" customFormat="false" ht="15" hidden="false" customHeight="false" outlineLevel="0" collapsed="false">
      <c r="A538" s="115"/>
      <c r="B538" s="4" t="s">
        <v>604</v>
      </c>
      <c r="C538" s="90" t="n">
        <f aca="false">S538+((T538/2)-($T$1/2))</f>
        <v>0</v>
      </c>
      <c r="D538" s="122" t="n">
        <f aca="false">$D$502-(4*$I$502)</f>
        <v>-34.31</v>
      </c>
      <c r="E538" s="129" t="n">
        <f aca="false">$E$502+(4*$J$502)</f>
        <v>55.3</v>
      </c>
      <c r="F538" s="48" t="n">
        <v>-54</v>
      </c>
      <c r="G538" s="48" t="n">
        <f aca="false">E538</f>
        <v>55.3</v>
      </c>
    </row>
    <row r="539" customFormat="false" ht="15" hidden="false" customHeight="false" outlineLevel="0" collapsed="false">
      <c r="A539" s="115"/>
      <c r="B539" s="4" t="s">
        <v>605</v>
      </c>
      <c r="C539" s="90" t="n">
        <f aca="false">S539+((T539/2)-($T$1/2))</f>
        <v>0</v>
      </c>
      <c r="D539" s="122" t="n">
        <f aca="false">$D$502-(3*$I$502)</f>
        <v>-34.31</v>
      </c>
      <c r="E539" s="129" t="n">
        <f aca="false">$E$502+(4*$J$502)</f>
        <v>55.3</v>
      </c>
      <c r="F539" s="48" t="n">
        <v>-54</v>
      </c>
      <c r="G539" s="48" t="n">
        <f aca="false">E539</f>
        <v>55.3</v>
      </c>
    </row>
    <row r="540" customFormat="false" ht="15" hidden="false" customHeight="false" outlineLevel="0" collapsed="false">
      <c r="A540" s="115"/>
      <c r="B540" s="4" t="s">
        <v>606</v>
      </c>
      <c r="C540" s="90" t="n">
        <f aca="false">S540+((T540/2)-($T$1/2))</f>
        <v>0</v>
      </c>
      <c r="D540" s="122" t="n">
        <f aca="false">$D$502-(2*$I$502)</f>
        <v>-34.31</v>
      </c>
      <c r="E540" s="129" t="n">
        <f aca="false">$E$502+(4*$J$502)</f>
        <v>55.3</v>
      </c>
      <c r="F540" s="48" t="n">
        <v>-54</v>
      </c>
      <c r="G540" s="48" t="n">
        <f aca="false">E540</f>
        <v>55.3</v>
      </c>
    </row>
    <row r="541" customFormat="false" ht="15" hidden="false" customHeight="false" outlineLevel="0" collapsed="false">
      <c r="A541" s="115"/>
      <c r="B541" s="4" t="s">
        <v>607</v>
      </c>
      <c r="C541" s="90" t="n">
        <f aca="false">S541+((T541/2)-($T$1/2))</f>
        <v>0</v>
      </c>
      <c r="D541" s="122" t="n">
        <f aca="false">$D$502-(1*$I$502)</f>
        <v>-34.31</v>
      </c>
      <c r="E541" s="129" t="n">
        <f aca="false">$E$502+(4*$J$502)</f>
        <v>55.3</v>
      </c>
      <c r="F541" s="48" t="n">
        <v>-54</v>
      </c>
      <c r="G541" s="48" t="n">
        <f aca="false">E541</f>
        <v>55.3</v>
      </c>
    </row>
    <row r="542" customFormat="false" ht="15" hidden="false" customHeight="false" outlineLevel="0" collapsed="false">
      <c r="B542" s="4" t="s">
        <v>608</v>
      </c>
      <c r="C542" s="90" t="n">
        <f aca="false">S542+((T542/2)-($T$1/2))</f>
        <v>0</v>
      </c>
      <c r="D542" s="122" t="n">
        <f aca="false">$D$502</f>
        <v>-34.31</v>
      </c>
      <c r="E542" s="129" t="n">
        <f aca="false">$E$502+(4*$J$502)</f>
        <v>55.3</v>
      </c>
      <c r="F542" s="48" t="n">
        <v>-54</v>
      </c>
      <c r="G542" s="48" t="n">
        <f aca="false">E542</f>
        <v>55.3</v>
      </c>
    </row>
    <row r="543" customFormat="false" ht="15" hidden="false" customHeight="false" outlineLevel="0" collapsed="false">
      <c r="A543" s="115"/>
      <c r="B543" s="4" t="s">
        <v>609</v>
      </c>
      <c r="C543" s="90" t="n">
        <f aca="false">S543+((T543/2)-($T$1/2))</f>
        <v>0</v>
      </c>
      <c r="D543" s="122" t="n">
        <f aca="false">$D$502+(1*$I$502)</f>
        <v>-34.31</v>
      </c>
      <c r="E543" s="129" t="n">
        <f aca="false">$E$502+(4*$J$502)</f>
        <v>55.3</v>
      </c>
      <c r="F543" s="48" t="n">
        <v>-54</v>
      </c>
      <c r="G543" s="48" t="n">
        <f aca="false">E543</f>
        <v>55.3</v>
      </c>
    </row>
    <row r="544" customFormat="false" ht="15" hidden="false" customHeight="false" outlineLevel="0" collapsed="false">
      <c r="A544" s="115"/>
      <c r="B544" s="4" t="s">
        <v>610</v>
      </c>
      <c r="C544" s="90" t="n">
        <f aca="false">S544+((T544/2)-($T$1/2))</f>
        <v>0</v>
      </c>
      <c r="D544" s="122" t="n">
        <f aca="false">$D$502+(2*$I$502)</f>
        <v>-34.31</v>
      </c>
      <c r="E544" s="129" t="n">
        <f aca="false">$E$502+(4*$J$502)</f>
        <v>55.3</v>
      </c>
      <c r="F544" s="48" t="n">
        <v>-54</v>
      </c>
      <c r="G544" s="48" t="n">
        <f aca="false">E544</f>
        <v>55.3</v>
      </c>
    </row>
    <row r="545" customFormat="false" ht="15" hidden="false" customHeight="false" outlineLevel="0" collapsed="false">
      <c r="A545" s="115"/>
      <c r="B545" s="4" t="s">
        <v>611</v>
      </c>
      <c r="C545" s="90" t="n">
        <f aca="false">S545+((T545/2)-($T$1/2))</f>
        <v>0</v>
      </c>
      <c r="D545" s="122" t="n">
        <f aca="false">$D$502+(3*$I$502)</f>
        <v>-34.31</v>
      </c>
      <c r="E545" s="129" t="n">
        <f aca="false">$E$502+(4*$J$502)</f>
        <v>55.3</v>
      </c>
      <c r="F545" s="48" t="n">
        <v>-54</v>
      </c>
      <c r="G545" s="48" t="n">
        <f aca="false">E545</f>
        <v>55.3</v>
      </c>
    </row>
    <row r="546" customFormat="false" ht="15" hidden="false" customHeight="false" outlineLevel="0" collapsed="false">
      <c r="A546" s="115"/>
      <c r="B546" s="4" t="s">
        <v>612</v>
      </c>
      <c r="C546" s="90" t="n">
        <f aca="false">S546+((T546/2)-($T$1/2))</f>
        <v>0</v>
      </c>
      <c r="D546" s="122" t="n">
        <f aca="false">$D$502+(4*$I$502)</f>
        <v>-34.31</v>
      </c>
      <c r="E546" s="129" t="n">
        <f aca="false">$E$502+(4*$J$502)</f>
        <v>55.3</v>
      </c>
      <c r="F546" s="48" t="n">
        <v>-54</v>
      </c>
      <c r="G546" s="48" t="n">
        <f aca="false">E546</f>
        <v>55.3</v>
      </c>
    </row>
    <row r="547" customFormat="false" ht="15" hidden="false" customHeight="false" outlineLevel="0" collapsed="false">
      <c r="A547" s="115"/>
      <c r="B547" s="4" t="s">
        <v>613</v>
      </c>
      <c r="C547" s="90" t="n">
        <f aca="false">S547+((T547/2)-($T$1/2))</f>
        <v>0</v>
      </c>
      <c r="D547" s="122" t="n">
        <f aca="false">$D$502+(5*$I$502)</f>
        <v>-34.31</v>
      </c>
      <c r="E547" s="129" t="n">
        <f aca="false">$E$502+(4*$J$502)</f>
        <v>55.3</v>
      </c>
      <c r="F547" s="48" t="n">
        <v>-54</v>
      </c>
      <c r="G547" s="48" t="n">
        <f aca="false">E547</f>
        <v>55.3</v>
      </c>
    </row>
    <row r="548" customFormat="false" ht="15" hidden="false" customHeight="false" outlineLevel="0" collapsed="false">
      <c r="B548" s="4" t="s">
        <v>614</v>
      </c>
      <c r="C548" s="90" t="n">
        <f aca="false">S548+((T548/2)-($T$1/2))</f>
        <v>0</v>
      </c>
      <c r="D548" s="122" t="n">
        <f aca="false">$D$502-(4*$I$502)</f>
        <v>-34.31</v>
      </c>
      <c r="E548" s="129" t="n">
        <f aca="false">$E$502+(5*$J$502)</f>
        <v>55.3</v>
      </c>
      <c r="F548" s="48" t="n">
        <v>-54</v>
      </c>
      <c r="G548" s="48" t="n">
        <f aca="false">E548</f>
        <v>55.3</v>
      </c>
    </row>
    <row r="549" customFormat="false" ht="15" hidden="false" customHeight="false" outlineLevel="0" collapsed="false">
      <c r="A549" s="115"/>
      <c r="B549" s="4" t="s">
        <v>615</v>
      </c>
      <c r="C549" s="90" t="n">
        <f aca="false">S549+((T549/2)-($T$1/2))</f>
        <v>0</v>
      </c>
      <c r="D549" s="122" t="n">
        <f aca="false">$D$502-(3*$I$502)</f>
        <v>-34.31</v>
      </c>
      <c r="E549" s="129" t="n">
        <f aca="false">$E$502+(5*$J$502)</f>
        <v>55.3</v>
      </c>
      <c r="F549" s="48" t="n">
        <v>-54</v>
      </c>
      <c r="G549" s="48" t="n">
        <f aca="false">E549</f>
        <v>55.3</v>
      </c>
    </row>
    <row r="550" customFormat="false" ht="15" hidden="false" customHeight="false" outlineLevel="0" collapsed="false">
      <c r="A550" s="115"/>
      <c r="B550" s="4" t="s">
        <v>616</v>
      </c>
      <c r="C550" s="90" t="n">
        <f aca="false">S550+((T550/2)-($T$1/2))</f>
        <v>0</v>
      </c>
      <c r="D550" s="122" t="n">
        <f aca="false">$D$502-(2*$I$502)</f>
        <v>-34.31</v>
      </c>
      <c r="E550" s="129" t="n">
        <f aca="false">$E$502+(5*$J$502)</f>
        <v>55.3</v>
      </c>
      <c r="F550" s="48" t="n">
        <v>-54</v>
      </c>
      <c r="G550" s="48" t="n">
        <f aca="false">E550</f>
        <v>55.3</v>
      </c>
    </row>
    <row r="551" customFormat="false" ht="15" hidden="false" customHeight="false" outlineLevel="0" collapsed="false">
      <c r="A551" s="115"/>
      <c r="B551" s="4" t="s">
        <v>617</v>
      </c>
      <c r="C551" s="90" t="n">
        <f aca="false">S551+((T551/2)-($T$1/2))</f>
        <v>0</v>
      </c>
      <c r="D551" s="122" t="n">
        <f aca="false">$D$502-(1*$I$502)</f>
        <v>-34.31</v>
      </c>
      <c r="E551" s="129" t="n">
        <f aca="false">$E$502+(5*$J$502)</f>
        <v>55.3</v>
      </c>
      <c r="F551" s="48" t="n">
        <v>-54</v>
      </c>
      <c r="G551" s="48" t="n">
        <f aca="false">E551</f>
        <v>55.3</v>
      </c>
    </row>
    <row r="552" customFormat="false" ht="15" hidden="false" customHeight="false" outlineLevel="0" collapsed="false">
      <c r="A552" s="115"/>
      <c r="B552" s="4" t="s">
        <v>618</v>
      </c>
      <c r="C552" s="90" t="n">
        <f aca="false">S552+((T552/2)-($T$1/2))</f>
        <v>0</v>
      </c>
      <c r="D552" s="122" t="n">
        <f aca="false">$D$502</f>
        <v>-34.31</v>
      </c>
      <c r="E552" s="129" t="n">
        <f aca="false">$E$502+(5*$J$502)</f>
        <v>55.3</v>
      </c>
      <c r="F552" s="48" t="n">
        <v>-54</v>
      </c>
      <c r="G552" s="48" t="n">
        <f aca="false">E552</f>
        <v>55.3</v>
      </c>
    </row>
    <row r="553" customFormat="false" ht="15" hidden="false" customHeight="false" outlineLevel="0" collapsed="false">
      <c r="A553" s="115"/>
      <c r="B553" s="4" t="s">
        <v>619</v>
      </c>
      <c r="C553" s="90" t="n">
        <f aca="false">S553+((T553/2)-($T$1/2))</f>
        <v>0</v>
      </c>
      <c r="D553" s="122" t="n">
        <f aca="false">$D$502+(1*$I$502)</f>
        <v>-34.31</v>
      </c>
      <c r="E553" s="129" t="n">
        <f aca="false">$E$502+(5*$J$502)</f>
        <v>55.3</v>
      </c>
      <c r="F553" s="48" t="n">
        <v>-54</v>
      </c>
      <c r="G553" s="48" t="n">
        <f aca="false">E553</f>
        <v>55.3</v>
      </c>
    </row>
    <row r="554" customFormat="false" ht="15" hidden="false" customHeight="false" outlineLevel="0" collapsed="false">
      <c r="B554" s="4" t="s">
        <v>620</v>
      </c>
      <c r="C554" s="90" t="n">
        <f aca="false">S554+((T554/2)-($T$1/2))</f>
        <v>0</v>
      </c>
      <c r="D554" s="122" t="n">
        <f aca="false">$D$502+(2*$I$502)</f>
        <v>-34.31</v>
      </c>
      <c r="E554" s="129" t="n">
        <f aca="false">$E$502+(5*$J$502)</f>
        <v>55.3</v>
      </c>
      <c r="F554" s="48" t="n">
        <v>-54</v>
      </c>
      <c r="G554" s="48" t="n">
        <f aca="false">E554</f>
        <v>55.3</v>
      </c>
    </row>
    <row r="555" customFormat="false" ht="15" hidden="false" customHeight="false" outlineLevel="0" collapsed="false">
      <c r="B555" s="4" t="s">
        <v>621</v>
      </c>
      <c r="C555" s="90" t="n">
        <f aca="false">S555+((T555/2)-($T$1/2))</f>
        <v>0</v>
      </c>
      <c r="D555" s="122" t="n">
        <f aca="false">$D$502+(3*$I$502)</f>
        <v>-34.31</v>
      </c>
      <c r="E555" s="129" t="n">
        <f aca="false">$E$502+(5*$J$502)</f>
        <v>55.3</v>
      </c>
      <c r="F555" s="48" t="n">
        <v>-54</v>
      </c>
      <c r="G555" s="48" t="n">
        <f aca="false">E555</f>
        <v>55.3</v>
      </c>
    </row>
    <row r="556" customFormat="false" ht="15" hidden="false" customHeight="false" outlineLevel="0" collapsed="false">
      <c r="B556" s="4" t="s">
        <v>622</v>
      </c>
      <c r="C556" s="90" t="n">
        <f aca="false">S556+((T556/2)-($T$1/2))</f>
        <v>0</v>
      </c>
      <c r="D556" s="122" t="n">
        <f aca="false">$D$502+(4*$I$502)</f>
        <v>-34.31</v>
      </c>
      <c r="E556" s="129" t="n">
        <f aca="false">$E$502+(5*$J$502)</f>
        <v>55.3</v>
      </c>
      <c r="F556" s="48" t="n">
        <v>-54</v>
      </c>
      <c r="G556" s="48" t="n">
        <f aca="false">E556</f>
        <v>55.3</v>
      </c>
    </row>
    <row r="557" customFormat="false" ht="15" hidden="false" customHeight="false" outlineLevel="0" collapsed="false">
      <c r="B557" s="4" t="s">
        <v>623</v>
      </c>
      <c r="C557" s="90" t="n">
        <f aca="false">S557+((T557/2)-($T$1/2))</f>
        <v>0</v>
      </c>
      <c r="D557" s="122" t="n">
        <f aca="false">$D$502+(5*$I$502)</f>
        <v>-34.31</v>
      </c>
      <c r="E557" s="129" t="n">
        <f aca="false">$E$502+(5*$J$502)</f>
        <v>55.3</v>
      </c>
      <c r="F557" s="48" t="n">
        <v>-54</v>
      </c>
      <c r="G557" s="48" t="n">
        <f aca="false">E557</f>
        <v>55.3</v>
      </c>
    </row>
    <row r="558" customFormat="false" ht="15" hidden="false" customHeight="false" outlineLevel="0" collapsed="false">
      <c r="B558" s="130" t="s">
        <v>624</v>
      </c>
      <c r="C558" s="90" t="n">
        <v>18.990539353629</v>
      </c>
      <c r="D558" s="48" t="n">
        <v>66</v>
      </c>
      <c r="E558" s="48" t="n">
        <v>55.206</v>
      </c>
      <c r="F558" s="48" t="n">
        <v>-54</v>
      </c>
      <c r="G558" s="48" t="n">
        <f aca="false">E558</f>
        <v>55.206</v>
      </c>
    </row>
    <row r="559" customFormat="false" ht="15" hidden="false" customHeight="false" outlineLevel="0" collapsed="false">
      <c r="B559" s="130"/>
      <c r="C559" s="90"/>
    </row>
    <row r="560" customFormat="false" ht="15" hidden="false" customHeight="false" outlineLevel="0" collapsed="false">
      <c r="C560" s="54" t="s">
        <v>99</v>
      </c>
      <c r="D560" s="55" t="s">
        <v>100</v>
      </c>
      <c r="E560" s="55" t="s">
        <v>101</v>
      </c>
      <c r="F560" s="55" t="s">
        <v>100</v>
      </c>
      <c r="G560" s="55" t="s">
        <v>101</v>
      </c>
    </row>
    <row r="561" customFormat="false" ht="15" hidden="false" customHeight="false" outlineLevel="0" collapsed="false">
      <c r="B561" s="4" t="s">
        <v>625</v>
      </c>
      <c r="C561" s="90" t="n">
        <f aca="false">C562</f>
        <v>18.990539353629</v>
      </c>
      <c r="D561" s="48" t="n">
        <f aca="false">D562-2</f>
        <v>33.1</v>
      </c>
      <c r="E561" s="48" t="n">
        <f aca="false">E562</f>
        <v>56</v>
      </c>
      <c r="F561" s="48" t="n">
        <f aca="false">F562</f>
        <v>68</v>
      </c>
      <c r="G561" s="48" t="n">
        <f aca="false">G562</f>
        <v>56</v>
      </c>
    </row>
    <row r="562" customFormat="false" ht="15" hidden="false" customHeight="false" outlineLevel="0" collapsed="false">
      <c r="B562" s="4" t="s">
        <v>626</v>
      </c>
      <c r="C562" s="90" t="n">
        <f aca="false">C563</f>
        <v>18.990539353629</v>
      </c>
      <c r="D562" s="48" t="n">
        <f aca="false">D563-2</f>
        <v>35.1</v>
      </c>
      <c r="E562" s="48" t="n">
        <f aca="false">E563</f>
        <v>56</v>
      </c>
      <c r="F562" s="48" t="n">
        <f aca="false">F563</f>
        <v>68</v>
      </c>
      <c r="G562" s="48" t="n">
        <f aca="false">G563</f>
        <v>56</v>
      </c>
    </row>
    <row r="563" customFormat="false" ht="15" hidden="false" customHeight="false" outlineLevel="0" collapsed="false">
      <c r="B563" s="4" t="s">
        <v>627</v>
      </c>
      <c r="C563" s="90" t="n">
        <f aca="false">C564</f>
        <v>18.990539353629</v>
      </c>
      <c r="D563" s="48" t="n">
        <f aca="false">D564-2</f>
        <v>37.1</v>
      </c>
      <c r="E563" s="48" t="n">
        <f aca="false">E564</f>
        <v>56</v>
      </c>
      <c r="F563" s="48" t="n">
        <f aca="false">F564</f>
        <v>68</v>
      </c>
      <c r="G563" s="48" t="n">
        <f aca="false">G564</f>
        <v>56</v>
      </c>
    </row>
    <row r="564" customFormat="false" ht="15" hidden="false" customHeight="false" outlineLevel="0" collapsed="false">
      <c r="B564" s="4" t="s">
        <v>628</v>
      </c>
      <c r="C564" s="90" t="n">
        <f aca="false">C565</f>
        <v>18.990539353629</v>
      </c>
      <c r="D564" s="48" t="n">
        <f aca="false">D565-2</f>
        <v>39.1</v>
      </c>
      <c r="E564" s="48" t="n">
        <f aca="false">E565</f>
        <v>56</v>
      </c>
      <c r="F564" s="48" t="n">
        <f aca="false">F565</f>
        <v>68</v>
      </c>
      <c r="G564" s="48" t="n">
        <f aca="false">G565</f>
        <v>56</v>
      </c>
    </row>
    <row r="565" customFormat="false" ht="15" hidden="false" customHeight="false" outlineLevel="0" collapsed="false">
      <c r="B565" s="4" t="s">
        <v>629</v>
      </c>
      <c r="C565" s="90" t="n">
        <f aca="false">C566</f>
        <v>18.990539353629</v>
      </c>
      <c r="D565" s="48" t="n">
        <f aca="false">D566-2</f>
        <v>41.1</v>
      </c>
      <c r="E565" s="48" t="n">
        <f aca="false">E566</f>
        <v>56</v>
      </c>
      <c r="F565" s="48" t="n">
        <f aca="false">F566</f>
        <v>68</v>
      </c>
      <c r="G565" s="48" t="n">
        <f aca="false">G566</f>
        <v>56</v>
      </c>
    </row>
    <row r="566" customFormat="false" ht="15" hidden="false" customHeight="false" outlineLevel="0" collapsed="false">
      <c r="B566" s="4" t="s">
        <v>630</v>
      </c>
      <c r="C566" s="90" t="n">
        <v>18.990539353629</v>
      </c>
      <c r="D566" s="132" t="n">
        <v>43.1</v>
      </c>
      <c r="E566" s="132" t="n">
        <v>56</v>
      </c>
      <c r="F566" s="132" t="n">
        <v>68</v>
      </c>
      <c r="G566" s="132" t="n">
        <f aca="false">E566</f>
        <v>56</v>
      </c>
    </row>
    <row r="567" customFormat="false" ht="15" hidden="false" customHeight="false" outlineLevel="0" collapsed="false">
      <c r="B567" s="4" t="s">
        <v>631</v>
      </c>
      <c r="C567" s="90" t="n">
        <f aca="false">C566</f>
        <v>18.990539353629</v>
      </c>
      <c r="D567" s="48" t="n">
        <f aca="false">D566+2</f>
        <v>45.1</v>
      </c>
      <c r="E567" s="48" t="n">
        <f aca="false">E566</f>
        <v>56</v>
      </c>
      <c r="F567" s="48" t="n">
        <f aca="false">F566</f>
        <v>68</v>
      </c>
      <c r="G567" s="48" t="n">
        <f aca="false">G566</f>
        <v>56</v>
      </c>
    </row>
    <row r="568" customFormat="false" ht="15" hidden="false" customHeight="false" outlineLevel="0" collapsed="false">
      <c r="B568" s="4" t="s">
        <v>632</v>
      </c>
      <c r="C568" s="90" t="n">
        <f aca="false">C567</f>
        <v>18.990539353629</v>
      </c>
      <c r="D568" s="48" t="n">
        <f aca="false">D567+2</f>
        <v>47.1</v>
      </c>
      <c r="E568" s="48" t="n">
        <f aca="false">E567</f>
        <v>56</v>
      </c>
      <c r="F568" s="48" t="n">
        <f aca="false">F567</f>
        <v>68</v>
      </c>
      <c r="G568" s="48" t="n">
        <f aca="false">G567</f>
        <v>56</v>
      </c>
    </row>
    <row r="569" customFormat="false" ht="15" hidden="false" customHeight="false" outlineLevel="0" collapsed="false">
      <c r="B569" s="4" t="s">
        <v>633</v>
      </c>
      <c r="C569" s="90" t="n">
        <f aca="false">C568</f>
        <v>18.990539353629</v>
      </c>
      <c r="D569" s="48" t="n">
        <f aca="false">D568+2</f>
        <v>49.1</v>
      </c>
      <c r="E569" s="48" t="n">
        <f aca="false">E568</f>
        <v>56</v>
      </c>
      <c r="F569" s="48" t="n">
        <f aca="false">F568</f>
        <v>68</v>
      </c>
      <c r="G569" s="48" t="n">
        <f aca="false">G568</f>
        <v>56</v>
      </c>
    </row>
    <row r="570" customFormat="false" ht="15" hidden="false" customHeight="false" outlineLevel="0" collapsed="false">
      <c r="B570" s="4" t="s">
        <v>634</v>
      </c>
      <c r="C570" s="90" t="n">
        <f aca="false">C569</f>
        <v>18.990539353629</v>
      </c>
      <c r="D570" s="48" t="n">
        <f aca="false">D569+2</f>
        <v>51.1</v>
      </c>
      <c r="E570" s="48" t="n">
        <f aca="false">E569</f>
        <v>56</v>
      </c>
      <c r="F570" s="48" t="n">
        <f aca="false">F569</f>
        <v>68</v>
      </c>
      <c r="G570" s="48" t="n">
        <f aca="false">G569</f>
        <v>56</v>
      </c>
    </row>
    <row r="571" customFormat="false" ht="15" hidden="false" customHeight="false" outlineLevel="0" collapsed="false">
      <c r="B571" s="4" t="s">
        <v>635</v>
      </c>
      <c r="C571" s="90" t="n">
        <f aca="false">C570</f>
        <v>18.990539353629</v>
      </c>
      <c r="D571" s="48" t="n">
        <f aca="false">D570+2</f>
        <v>53.1</v>
      </c>
      <c r="E571" s="48" t="n">
        <f aca="false">E570</f>
        <v>56</v>
      </c>
      <c r="F571" s="48" t="n">
        <f aca="false">F570</f>
        <v>68</v>
      </c>
      <c r="G571" s="48" t="n">
        <f aca="false">G570</f>
        <v>56</v>
      </c>
    </row>
    <row r="572" customFormat="false" ht="15" hidden="false" customHeight="false" outlineLevel="0" collapsed="false">
      <c r="C572" s="90"/>
    </row>
    <row r="573" customFormat="false" ht="15" hidden="false" customHeight="false" outlineLevel="0" collapsed="false">
      <c r="C573" s="54" t="s">
        <v>99</v>
      </c>
      <c r="D573" s="55" t="s">
        <v>100</v>
      </c>
      <c r="E573" s="55" t="s">
        <v>101</v>
      </c>
      <c r="F573" s="55" t="s">
        <v>100</v>
      </c>
      <c r="G573" s="55" t="s">
        <v>101</v>
      </c>
    </row>
    <row r="574" customFormat="false" ht="15" hidden="false" customHeight="false" outlineLevel="0" collapsed="false">
      <c r="B574" s="4" t="s">
        <v>636</v>
      </c>
      <c r="C574" s="90" t="n">
        <f aca="false">C575</f>
        <v>18.990539353629</v>
      </c>
      <c r="D574" s="48" t="n">
        <f aca="false">D575-1.5</f>
        <v>1.35</v>
      </c>
      <c r="E574" s="48" t="n">
        <f aca="false">E575</f>
        <v>56</v>
      </c>
      <c r="F574" s="48" t="n">
        <f aca="false">F575</f>
        <v>68</v>
      </c>
      <c r="G574" s="48" t="n">
        <f aca="false">G575</f>
        <v>56</v>
      </c>
    </row>
    <row r="575" customFormat="false" ht="15" hidden="false" customHeight="false" outlineLevel="0" collapsed="false">
      <c r="B575" s="4" t="s">
        <v>637</v>
      </c>
      <c r="C575" s="90" t="n">
        <f aca="false">C576</f>
        <v>18.990539353629</v>
      </c>
      <c r="D575" s="48" t="n">
        <f aca="false">D576-1.5</f>
        <v>2.85</v>
      </c>
      <c r="E575" s="48" t="n">
        <f aca="false">E576</f>
        <v>56</v>
      </c>
      <c r="F575" s="48" t="n">
        <f aca="false">F576</f>
        <v>68</v>
      </c>
      <c r="G575" s="48" t="n">
        <f aca="false">G576</f>
        <v>56</v>
      </c>
    </row>
    <row r="576" customFormat="false" ht="15" hidden="false" customHeight="false" outlineLevel="0" collapsed="false">
      <c r="B576" s="4" t="s">
        <v>638</v>
      </c>
      <c r="C576" s="90" t="n">
        <f aca="false">C577</f>
        <v>18.990539353629</v>
      </c>
      <c r="D576" s="48" t="n">
        <f aca="false">D577-1.5</f>
        <v>4.35</v>
      </c>
      <c r="E576" s="48" t="n">
        <f aca="false">E577</f>
        <v>56</v>
      </c>
      <c r="F576" s="48" t="n">
        <f aca="false">F577</f>
        <v>68</v>
      </c>
      <c r="G576" s="48" t="n">
        <f aca="false">G577</f>
        <v>56</v>
      </c>
    </row>
    <row r="577" customFormat="false" ht="15" hidden="false" customHeight="false" outlineLevel="0" collapsed="false">
      <c r="B577" s="4" t="s">
        <v>639</v>
      </c>
      <c r="C577" s="90" t="n">
        <f aca="false">C578</f>
        <v>18.990539353629</v>
      </c>
      <c r="D577" s="48" t="n">
        <f aca="false">D578-1.5</f>
        <v>5.85</v>
      </c>
      <c r="E577" s="48" t="n">
        <f aca="false">E578</f>
        <v>56</v>
      </c>
      <c r="F577" s="48" t="n">
        <f aca="false">F578</f>
        <v>68</v>
      </c>
      <c r="G577" s="48" t="n">
        <f aca="false">G578</f>
        <v>56</v>
      </c>
    </row>
    <row r="578" customFormat="false" ht="15" hidden="false" customHeight="false" outlineLevel="0" collapsed="false">
      <c r="B578" s="4" t="s">
        <v>640</v>
      </c>
      <c r="C578" s="90" t="n">
        <f aca="false">C579</f>
        <v>18.990539353629</v>
      </c>
      <c r="D578" s="48" t="n">
        <f aca="false">D579-1.5</f>
        <v>7.35</v>
      </c>
      <c r="E578" s="48" t="n">
        <f aca="false">E579</f>
        <v>56</v>
      </c>
      <c r="F578" s="48" t="n">
        <f aca="false">F579</f>
        <v>68</v>
      </c>
      <c r="G578" s="48" t="n">
        <f aca="false">G579</f>
        <v>56</v>
      </c>
    </row>
    <row r="579" customFormat="false" ht="15" hidden="false" customHeight="false" outlineLevel="0" collapsed="false">
      <c r="B579" s="4" t="s">
        <v>641</v>
      </c>
      <c r="C579" s="90" t="n">
        <v>18.990539353629</v>
      </c>
      <c r="D579" s="132" t="n">
        <v>8.85</v>
      </c>
      <c r="E579" s="132" t="n">
        <v>56</v>
      </c>
      <c r="F579" s="132" t="n">
        <v>68</v>
      </c>
      <c r="G579" s="132" t="n">
        <f aca="false">E579</f>
        <v>56</v>
      </c>
    </row>
    <row r="580" customFormat="false" ht="15" hidden="false" customHeight="false" outlineLevel="0" collapsed="false">
      <c r="B580" s="4" t="s">
        <v>642</v>
      </c>
      <c r="C580" s="90" t="n">
        <f aca="false">C579</f>
        <v>18.990539353629</v>
      </c>
      <c r="D580" s="48" t="n">
        <f aca="false">D579+1.5</f>
        <v>10.35</v>
      </c>
      <c r="E580" s="48" t="n">
        <f aca="false">E579</f>
        <v>56</v>
      </c>
      <c r="F580" s="48" t="n">
        <f aca="false">F579</f>
        <v>68</v>
      </c>
      <c r="G580" s="48" t="n">
        <f aca="false">G579</f>
        <v>56</v>
      </c>
    </row>
    <row r="581" customFormat="false" ht="15" hidden="false" customHeight="false" outlineLevel="0" collapsed="false">
      <c r="B581" s="4" t="s">
        <v>643</v>
      </c>
      <c r="C581" s="90" t="n">
        <f aca="false">C580</f>
        <v>18.990539353629</v>
      </c>
      <c r="D581" s="48" t="n">
        <f aca="false">D580+1.5</f>
        <v>11.85</v>
      </c>
      <c r="E581" s="48" t="n">
        <f aca="false">E580</f>
        <v>56</v>
      </c>
      <c r="F581" s="48" t="n">
        <f aca="false">F580</f>
        <v>68</v>
      </c>
      <c r="G581" s="48" t="n">
        <f aca="false">G580</f>
        <v>56</v>
      </c>
    </row>
    <row r="582" customFormat="false" ht="15" hidden="false" customHeight="false" outlineLevel="0" collapsed="false">
      <c r="B582" s="4" t="s">
        <v>644</v>
      </c>
      <c r="C582" s="90" t="n">
        <f aca="false">C581</f>
        <v>18.990539353629</v>
      </c>
      <c r="D582" s="48" t="n">
        <f aca="false">D581+1.5</f>
        <v>13.35</v>
      </c>
      <c r="E582" s="48" t="n">
        <f aca="false">E581</f>
        <v>56</v>
      </c>
      <c r="F582" s="48" t="n">
        <f aca="false">F581</f>
        <v>68</v>
      </c>
      <c r="G582" s="48" t="n">
        <f aca="false">G581</f>
        <v>56</v>
      </c>
    </row>
    <row r="583" customFormat="false" ht="15" hidden="false" customHeight="false" outlineLevel="0" collapsed="false">
      <c r="B583" s="4" t="s">
        <v>645</v>
      </c>
      <c r="C583" s="90" t="n">
        <f aca="false">C582</f>
        <v>18.990539353629</v>
      </c>
      <c r="D583" s="48" t="n">
        <f aca="false">D582+1.5</f>
        <v>14.85</v>
      </c>
      <c r="E583" s="48" t="n">
        <f aca="false">E582</f>
        <v>56</v>
      </c>
      <c r="F583" s="48" t="n">
        <f aca="false">F582</f>
        <v>68</v>
      </c>
      <c r="G583" s="48" t="n">
        <f aca="false">G582</f>
        <v>56</v>
      </c>
    </row>
    <row r="584" customFormat="false" ht="15" hidden="false" customHeight="false" outlineLevel="0" collapsed="false">
      <c r="B584" s="4" t="s">
        <v>646</v>
      </c>
      <c r="C584" s="90" t="n">
        <f aca="false">C583</f>
        <v>18.990539353629</v>
      </c>
      <c r="D584" s="48" t="n">
        <f aca="false">D583+1.5</f>
        <v>16.35</v>
      </c>
      <c r="E584" s="48" t="n">
        <f aca="false">E583</f>
        <v>56</v>
      </c>
      <c r="F584" s="48" t="n">
        <f aca="false">F583</f>
        <v>68</v>
      </c>
      <c r="G584" s="48" t="n">
        <f aca="false">G583</f>
        <v>56</v>
      </c>
    </row>
    <row r="586" customFormat="false" ht="15" hidden="false" customHeight="false" outlineLevel="0" collapsed="false">
      <c r="C586" s="54" t="s">
        <v>99</v>
      </c>
      <c r="D586" s="55" t="s">
        <v>100</v>
      </c>
      <c r="E586" s="55" t="s">
        <v>101</v>
      </c>
      <c r="F586" s="55" t="s">
        <v>100</v>
      </c>
      <c r="G586" s="55" t="s">
        <v>101</v>
      </c>
    </row>
    <row r="587" customFormat="false" ht="15" hidden="false" customHeight="false" outlineLevel="0" collapsed="false">
      <c r="B587" s="4" t="s">
        <v>647</v>
      </c>
      <c r="C587" s="90" t="n">
        <f aca="false">C588</f>
        <v>18.990539353629</v>
      </c>
      <c r="D587" s="48" t="n">
        <f aca="false">D588-1</f>
        <v>-26</v>
      </c>
      <c r="E587" s="48" t="n">
        <f aca="false">E588</f>
        <v>54</v>
      </c>
      <c r="F587" s="48" t="n">
        <f aca="false">F588</f>
        <v>-54</v>
      </c>
      <c r="G587" s="48" t="n">
        <f aca="false">G588</f>
        <v>54</v>
      </c>
    </row>
    <row r="588" customFormat="false" ht="15" hidden="false" customHeight="false" outlineLevel="0" collapsed="false">
      <c r="B588" s="4" t="s">
        <v>648</v>
      </c>
      <c r="C588" s="90" t="n">
        <f aca="false">C589</f>
        <v>18.990539353629</v>
      </c>
      <c r="D588" s="48" t="n">
        <f aca="false">D589-1</f>
        <v>-25</v>
      </c>
      <c r="E588" s="48" t="n">
        <f aca="false">E589</f>
        <v>54</v>
      </c>
      <c r="F588" s="48" t="n">
        <f aca="false">F589</f>
        <v>-54</v>
      </c>
      <c r="G588" s="48" t="n">
        <f aca="false">G589</f>
        <v>54</v>
      </c>
    </row>
    <row r="589" customFormat="false" ht="15" hidden="false" customHeight="false" outlineLevel="0" collapsed="false">
      <c r="B589" s="4" t="s">
        <v>649</v>
      </c>
      <c r="C589" s="90" t="n">
        <f aca="false">C590</f>
        <v>18.990539353629</v>
      </c>
      <c r="D589" s="48" t="n">
        <f aca="false">D590-1</f>
        <v>-24</v>
      </c>
      <c r="E589" s="48" t="n">
        <f aca="false">E590</f>
        <v>54</v>
      </c>
      <c r="F589" s="48" t="n">
        <f aca="false">F590</f>
        <v>-54</v>
      </c>
      <c r="G589" s="48" t="n">
        <f aca="false">G590</f>
        <v>54</v>
      </c>
    </row>
    <row r="590" customFormat="false" ht="15" hidden="false" customHeight="false" outlineLevel="0" collapsed="false">
      <c r="B590" s="4" t="s">
        <v>650</v>
      </c>
      <c r="C590" s="90" t="n">
        <f aca="false">C591</f>
        <v>18.990539353629</v>
      </c>
      <c r="D590" s="48" t="n">
        <f aca="false">D591-1</f>
        <v>-23</v>
      </c>
      <c r="E590" s="48" t="n">
        <f aca="false">E591</f>
        <v>54</v>
      </c>
      <c r="F590" s="48" t="n">
        <f aca="false">F591</f>
        <v>-54</v>
      </c>
      <c r="G590" s="48" t="n">
        <f aca="false">G591</f>
        <v>54</v>
      </c>
    </row>
    <row r="591" customFormat="false" ht="15" hidden="false" customHeight="false" outlineLevel="0" collapsed="false">
      <c r="B591" s="4" t="s">
        <v>651</v>
      </c>
      <c r="C591" s="90" t="n">
        <f aca="false">C592</f>
        <v>18.990539353629</v>
      </c>
      <c r="D591" s="48" t="n">
        <f aca="false">D592-1</f>
        <v>-22</v>
      </c>
      <c r="E591" s="48" t="n">
        <f aca="false">E592</f>
        <v>54</v>
      </c>
      <c r="F591" s="48" t="n">
        <f aca="false">F592</f>
        <v>-54</v>
      </c>
      <c r="G591" s="48" t="n">
        <f aca="false">G592</f>
        <v>54</v>
      </c>
    </row>
    <row r="592" customFormat="false" ht="15" hidden="false" customHeight="false" outlineLevel="0" collapsed="false">
      <c r="B592" s="4" t="s">
        <v>652</v>
      </c>
      <c r="C592" s="90" t="n">
        <v>18.990539353629</v>
      </c>
      <c r="D592" s="132" t="n">
        <v>-21</v>
      </c>
      <c r="E592" s="132" t="n">
        <v>54</v>
      </c>
      <c r="F592" s="132" t="n">
        <v>-54</v>
      </c>
      <c r="G592" s="132" t="n">
        <f aca="false">E592</f>
        <v>54</v>
      </c>
    </row>
    <row r="593" customFormat="false" ht="15" hidden="false" customHeight="false" outlineLevel="0" collapsed="false">
      <c r="B593" s="4" t="s">
        <v>653</v>
      </c>
      <c r="C593" s="90" t="n">
        <f aca="false">C592</f>
        <v>18.990539353629</v>
      </c>
      <c r="D593" s="48" t="n">
        <f aca="false">D592+1</f>
        <v>-20</v>
      </c>
      <c r="E593" s="48" t="n">
        <f aca="false">E592</f>
        <v>54</v>
      </c>
      <c r="F593" s="48" t="n">
        <f aca="false">F592</f>
        <v>-54</v>
      </c>
      <c r="G593" s="48" t="n">
        <f aca="false">G592</f>
        <v>54</v>
      </c>
    </row>
    <row r="594" customFormat="false" ht="15" hidden="false" customHeight="false" outlineLevel="0" collapsed="false">
      <c r="B594" s="4" t="s">
        <v>654</v>
      </c>
      <c r="C594" s="90" t="n">
        <f aca="false">C593</f>
        <v>18.990539353629</v>
      </c>
      <c r="D594" s="48" t="n">
        <f aca="false">D593+1</f>
        <v>-19</v>
      </c>
      <c r="E594" s="48" t="n">
        <f aca="false">E593</f>
        <v>54</v>
      </c>
      <c r="F594" s="48" t="n">
        <f aca="false">F593</f>
        <v>-54</v>
      </c>
      <c r="G594" s="48" t="n">
        <f aca="false">G593</f>
        <v>54</v>
      </c>
    </row>
    <row r="595" customFormat="false" ht="15" hidden="false" customHeight="false" outlineLevel="0" collapsed="false">
      <c r="B595" s="4" t="s">
        <v>655</v>
      </c>
      <c r="C595" s="90" t="n">
        <f aca="false">C594</f>
        <v>18.990539353629</v>
      </c>
      <c r="D595" s="48" t="n">
        <f aca="false">D594+1</f>
        <v>-18</v>
      </c>
      <c r="E595" s="48" t="n">
        <f aca="false">E594</f>
        <v>54</v>
      </c>
      <c r="F595" s="48" t="n">
        <f aca="false">F594</f>
        <v>-54</v>
      </c>
      <c r="G595" s="48" t="n">
        <f aca="false">G594</f>
        <v>54</v>
      </c>
    </row>
    <row r="596" customFormat="false" ht="15" hidden="false" customHeight="false" outlineLevel="0" collapsed="false">
      <c r="B596" s="4" t="s">
        <v>656</v>
      </c>
      <c r="C596" s="90" t="n">
        <f aca="false">C595</f>
        <v>18.990539353629</v>
      </c>
      <c r="D596" s="48" t="n">
        <f aca="false">D595+1</f>
        <v>-17</v>
      </c>
      <c r="E596" s="48" t="n">
        <f aca="false">E595</f>
        <v>54</v>
      </c>
      <c r="F596" s="48" t="n">
        <f aca="false">F595</f>
        <v>-54</v>
      </c>
      <c r="G596" s="48" t="n">
        <f aca="false">G595</f>
        <v>54</v>
      </c>
    </row>
    <row r="597" customFormat="false" ht="15" hidden="false" customHeight="false" outlineLevel="0" collapsed="false">
      <c r="B597" s="4" t="s">
        <v>657</v>
      </c>
      <c r="C597" s="90" t="n">
        <f aca="false">C596</f>
        <v>18.990539353629</v>
      </c>
      <c r="D597" s="48" t="n">
        <f aca="false">D596+1</f>
        <v>-16</v>
      </c>
      <c r="E597" s="48" t="n">
        <f aca="false">E596</f>
        <v>54</v>
      </c>
      <c r="F597" s="48" t="n">
        <f aca="false">F596</f>
        <v>-54</v>
      </c>
      <c r="G597" s="48" t="n">
        <f aca="false">G596</f>
        <v>54</v>
      </c>
    </row>
    <row r="599" customFormat="false" ht="15" hidden="false" customHeight="false" outlineLevel="0" collapsed="false">
      <c r="B599" s="4" t="s">
        <v>658</v>
      </c>
      <c r="C599" s="90" t="n">
        <v>18.990539353629</v>
      </c>
      <c r="D599" s="48" t="n">
        <v>-54</v>
      </c>
      <c r="E599" s="48" t="n">
        <v>56</v>
      </c>
      <c r="F599" s="48" t="n">
        <v>-54</v>
      </c>
      <c r="G599" s="48" t="n">
        <v>56</v>
      </c>
    </row>
    <row r="601" customFormat="false" ht="15" hidden="false" customHeight="false" outlineLevel="0" collapsed="false">
      <c r="A601" s="115"/>
      <c r="B601" s="4" t="s">
        <v>659</v>
      </c>
      <c r="C601" s="90" t="n">
        <f aca="false">S601+((T601/2)-($T$1/2))</f>
        <v>0</v>
      </c>
      <c r="D601" s="122" t="n">
        <f aca="false">$D$605-(4*$I$605)</f>
        <v>-32</v>
      </c>
      <c r="E601" s="48" t="n">
        <f aca="false">E602</f>
        <v>0.5</v>
      </c>
      <c r="F601" s="123" t="n">
        <f aca="false">F602</f>
        <v>-51</v>
      </c>
      <c r="G601" s="48" t="n">
        <f aca="false">E601</f>
        <v>0.5</v>
      </c>
    </row>
    <row r="602" customFormat="false" ht="15" hidden="false" customHeight="false" outlineLevel="0" collapsed="false">
      <c r="A602" s="115"/>
      <c r="B602" s="4" t="s">
        <v>660</v>
      </c>
      <c r="C602" s="90" t="n">
        <f aca="false">S602+((T602/2)-($T$1/2))</f>
        <v>0</v>
      </c>
      <c r="D602" s="122" t="n">
        <f aca="false">$D$605-(3*$I$605)</f>
        <v>-32</v>
      </c>
      <c r="E602" s="48" t="n">
        <f aca="false">E603</f>
        <v>0.5</v>
      </c>
      <c r="F602" s="123" t="n">
        <f aca="false">F603</f>
        <v>-51</v>
      </c>
      <c r="G602" s="48" t="n">
        <f aca="false">E602</f>
        <v>0.5</v>
      </c>
    </row>
    <row r="603" customFormat="false" ht="15" hidden="false" customHeight="false" outlineLevel="0" collapsed="false">
      <c r="A603" s="115"/>
      <c r="B603" s="4" t="s">
        <v>661</v>
      </c>
      <c r="C603" s="90" t="n">
        <f aca="false">S603+((T603/2)-($T$1/2))</f>
        <v>0</v>
      </c>
      <c r="D603" s="122" t="n">
        <f aca="false">$D$605-(2*$I$605)</f>
        <v>-32</v>
      </c>
      <c r="E603" s="48" t="n">
        <f aca="false">E604</f>
        <v>0.5</v>
      </c>
      <c r="F603" s="123" t="n">
        <f aca="false">F604</f>
        <v>-51</v>
      </c>
      <c r="G603" s="48" t="n">
        <f aca="false">E603</f>
        <v>0.5</v>
      </c>
    </row>
    <row r="604" customFormat="false" ht="15" hidden="false" customHeight="false" outlineLevel="0" collapsed="false">
      <c r="A604" s="115"/>
      <c r="B604" s="4" t="s">
        <v>662</v>
      </c>
      <c r="C604" s="90" t="n">
        <f aca="false">S604+((T604/2)-($T$1/2))</f>
        <v>0</v>
      </c>
      <c r="D604" s="122" t="n">
        <f aca="false">$D$605-(1*$I$605)</f>
        <v>-32</v>
      </c>
      <c r="E604" s="48" t="n">
        <f aca="false">E605</f>
        <v>0.5</v>
      </c>
      <c r="F604" s="123" t="n">
        <f aca="false">F605</f>
        <v>-51</v>
      </c>
      <c r="G604" s="48" t="n">
        <f aca="false">E604</f>
        <v>0.5</v>
      </c>
    </row>
    <row r="605" customFormat="false" ht="15" hidden="false" customHeight="false" outlineLevel="0" collapsed="false">
      <c r="A605" s="124"/>
      <c r="B605" s="4" t="s">
        <v>663</v>
      </c>
      <c r="C605" s="126" t="n">
        <f aca="false">S605+((T605/2)-($T$1/2))</f>
        <v>0</v>
      </c>
      <c r="D605" s="127" t="n">
        <v>-32</v>
      </c>
      <c r="E605" s="128" t="n">
        <v>0.5</v>
      </c>
      <c r="F605" s="123" t="n">
        <v>-51</v>
      </c>
      <c r="G605" s="48" t="n">
        <f aca="false">E605</f>
        <v>0.5</v>
      </c>
    </row>
    <row r="606" customFormat="false" ht="15" hidden="false" customHeight="false" outlineLevel="0" collapsed="false">
      <c r="B606" s="4" t="s">
        <v>664</v>
      </c>
      <c r="C606" s="90" t="n">
        <f aca="false">S606+((T606/2)-($T$1/2))</f>
        <v>0</v>
      </c>
      <c r="D606" s="122" t="n">
        <f aca="false">$D$605+(1*$I$605)</f>
        <v>-32</v>
      </c>
      <c r="E606" s="48" t="n">
        <f aca="false">E605</f>
        <v>0.5</v>
      </c>
      <c r="F606" s="123" t="n">
        <f aca="false">F605</f>
        <v>-51</v>
      </c>
      <c r="G606" s="48" t="n">
        <f aca="false">E606</f>
        <v>0.5</v>
      </c>
    </row>
    <row r="607" customFormat="false" ht="15" hidden="false" customHeight="false" outlineLevel="0" collapsed="false">
      <c r="B607" s="4" t="s">
        <v>665</v>
      </c>
      <c r="C607" s="90" t="n">
        <f aca="false">S607+((T607/2)-($T$1/2))</f>
        <v>0</v>
      </c>
      <c r="D607" s="122" t="n">
        <f aca="false">$D$605+(2*$I$605)</f>
        <v>-32</v>
      </c>
      <c r="E607" s="48" t="n">
        <f aca="false">E606</f>
        <v>0.5</v>
      </c>
      <c r="F607" s="123" t="n">
        <f aca="false">F606</f>
        <v>-51</v>
      </c>
      <c r="G607" s="48" t="n">
        <f aca="false">E607</f>
        <v>0.5</v>
      </c>
    </row>
    <row r="608" customFormat="false" ht="15" hidden="false" customHeight="false" outlineLevel="0" collapsed="false">
      <c r="B608" s="4" t="s">
        <v>666</v>
      </c>
      <c r="C608" s="90" t="n">
        <f aca="false">S608+((T608/2)-($T$1/2))</f>
        <v>0</v>
      </c>
      <c r="D608" s="122" t="n">
        <f aca="false">$D$605+(3*$I$605)</f>
        <v>-32</v>
      </c>
      <c r="E608" s="48" t="n">
        <f aca="false">E607</f>
        <v>0.5</v>
      </c>
      <c r="F608" s="123" t="n">
        <f aca="false">F607</f>
        <v>-51</v>
      </c>
      <c r="G608" s="48" t="n">
        <f aca="false">E608</f>
        <v>0.5</v>
      </c>
    </row>
    <row r="609" customFormat="false" ht="15" hidden="false" customHeight="false" outlineLevel="0" collapsed="false">
      <c r="B609" s="4" t="s">
        <v>667</v>
      </c>
      <c r="C609" s="90" t="n">
        <f aca="false">S609+((T609/2)-($T$1/2))</f>
        <v>0</v>
      </c>
      <c r="D609" s="122" t="n">
        <f aca="false">$D$605+(4*$I$605)</f>
        <v>-32</v>
      </c>
      <c r="E609" s="48" t="n">
        <f aca="false">E608</f>
        <v>0.5</v>
      </c>
      <c r="F609" s="123" t="n">
        <f aca="false">F608</f>
        <v>-51</v>
      </c>
      <c r="G609" s="48" t="n">
        <f aca="false">E609</f>
        <v>0.5</v>
      </c>
    </row>
    <row r="610" customFormat="false" ht="15" hidden="false" customHeight="false" outlineLevel="0" collapsed="false">
      <c r="B610" s="4" t="s">
        <v>668</v>
      </c>
      <c r="C610" s="90" t="n">
        <f aca="false">S610+((T610/2)-($T$1/2))</f>
        <v>0</v>
      </c>
      <c r="D610" s="122" t="n">
        <f aca="false">$D$605+(5*$I$605)</f>
        <v>-32</v>
      </c>
      <c r="E610" s="48" t="n">
        <f aca="false">E609</f>
        <v>0.5</v>
      </c>
      <c r="F610" s="123" t="n">
        <f aca="false">F609</f>
        <v>-51</v>
      </c>
      <c r="G610" s="48" t="n">
        <f aca="false">E610</f>
        <v>0.5</v>
      </c>
    </row>
    <row r="611" customFormat="false" ht="15" hidden="false" customHeight="false" outlineLevel="0" collapsed="false">
      <c r="B611" s="130" t="s">
        <v>669</v>
      </c>
      <c r="C611" s="48" t="n">
        <v>18.990539353629</v>
      </c>
      <c r="D611" s="48" t="n">
        <v>-51</v>
      </c>
      <c r="E611" s="48" t="n">
        <v>0.5</v>
      </c>
      <c r="F611" s="48" t="n">
        <v>-51</v>
      </c>
      <c r="G611" s="48" t="n">
        <f aca="false">E611</f>
        <v>0.5</v>
      </c>
    </row>
    <row r="613" customFormat="false" ht="15" hidden="false" customHeight="false" outlineLevel="0" collapsed="false">
      <c r="A613" s="115"/>
      <c r="B613" s="4" t="s">
        <v>670</v>
      </c>
      <c r="C613" s="90" t="n">
        <f aca="false">S613+((T613/2)-($T$1/2))</f>
        <v>0</v>
      </c>
      <c r="D613" s="122" t="n">
        <f aca="false">$D617-(4*$I$605)</f>
        <v>-18</v>
      </c>
      <c r="E613" s="48" t="n">
        <f aca="false">E614</f>
        <v>11.5</v>
      </c>
      <c r="F613" s="123" t="n">
        <f aca="false">F614</f>
        <v>-51</v>
      </c>
      <c r="G613" s="48" t="n">
        <f aca="false">E613</f>
        <v>11.5</v>
      </c>
    </row>
    <row r="614" customFormat="false" ht="15" hidden="false" customHeight="false" outlineLevel="0" collapsed="false">
      <c r="A614" s="115"/>
      <c r="B614" s="4" t="s">
        <v>671</v>
      </c>
      <c r="C614" s="90" t="n">
        <f aca="false">S614+((T614/2)-($T$1/2))</f>
        <v>0</v>
      </c>
      <c r="D614" s="122" t="n">
        <f aca="false">$D617-(3*$I$605)</f>
        <v>-18</v>
      </c>
      <c r="E614" s="48" t="n">
        <f aca="false">E615</f>
        <v>11.5</v>
      </c>
      <c r="F614" s="123" t="n">
        <f aca="false">F615</f>
        <v>-51</v>
      </c>
      <c r="G614" s="48" t="n">
        <f aca="false">E614</f>
        <v>11.5</v>
      </c>
    </row>
    <row r="615" customFormat="false" ht="15" hidden="false" customHeight="false" outlineLevel="0" collapsed="false">
      <c r="A615" s="115"/>
      <c r="B615" s="4" t="s">
        <v>672</v>
      </c>
      <c r="C615" s="90" t="n">
        <f aca="false">S615+((T615/2)-($T$1/2))</f>
        <v>0</v>
      </c>
      <c r="D615" s="122" t="n">
        <f aca="false">$D617-(2*$I$605)</f>
        <v>-18</v>
      </c>
      <c r="E615" s="48" t="n">
        <f aca="false">E616</f>
        <v>11.5</v>
      </c>
      <c r="F615" s="123" t="n">
        <f aca="false">F616</f>
        <v>-51</v>
      </c>
      <c r="G615" s="48" t="n">
        <f aca="false">E615</f>
        <v>11.5</v>
      </c>
    </row>
    <row r="616" customFormat="false" ht="15" hidden="false" customHeight="false" outlineLevel="0" collapsed="false">
      <c r="A616" s="115"/>
      <c r="B616" s="4" t="s">
        <v>673</v>
      </c>
      <c r="C616" s="90" t="n">
        <f aca="false">S616+((T616/2)-($T$1/2))</f>
        <v>0</v>
      </c>
      <c r="D616" s="122" t="n">
        <f aca="false">$D617-(1*$I$605)</f>
        <v>-18</v>
      </c>
      <c r="E616" s="48" t="n">
        <f aca="false">E617</f>
        <v>11.5</v>
      </c>
      <c r="F616" s="123" t="n">
        <f aca="false">F617</f>
        <v>-51</v>
      </c>
      <c r="G616" s="48" t="n">
        <f aca="false">E616</f>
        <v>11.5</v>
      </c>
    </row>
    <row r="617" customFormat="false" ht="15" hidden="false" customHeight="false" outlineLevel="0" collapsed="false">
      <c r="A617" s="124"/>
      <c r="B617" s="4" t="s">
        <v>674</v>
      </c>
      <c r="C617" s="126" t="n">
        <f aca="false">S617+((T617/2)-($T$1/2))</f>
        <v>0</v>
      </c>
      <c r="D617" s="127" t="n">
        <v>-18</v>
      </c>
      <c r="E617" s="128" t="n">
        <v>11.5</v>
      </c>
      <c r="F617" s="123" t="n">
        <v>-51</v>
      </c>
      <c r="G617" s="48" t="n">
        <f aca="false">E617</f>
        <v>11.5</v>
      </c>
    </row>
    <row r="618" customFormat="false" ht="15" hidden="false" customHeight="false" outlineLevel="0" collapsed="false">
      <c r="B618" s="4" t="s">
        <v>675</v>
      </c>
      <c r="C618" s="90" t="n">
        <f aca="false">S618+((T618/2)-($T$1/2))</f>
        <v>0</v>
      </c>
      <c r="D618" s="122" t="n">
        <f aca="false">$D617+(1*$I$605)</f>
        <v>-18</v>
      </c>
      <c r="E618" s="48" t="n">
        <f aca="false">E617</f>
        <v>11.5</v>
      </c>
      <c r="F618" s="123" t="n">
        <f aca="false">F617</f>
        <v>-51</v>
      </c>
      <c r="G618" s="48" t="n">
        <f aca="false">E618</f>
        <v>11.5</v>
      </c>
    </row>
    <row r="619" customFormat="false" ht="15" hidden="false" customHeight="false" outlineLevel="0" collapsed="false">
      <c r="B619" s="4" t="s">
        <v>676</v>
      </c>
      <c r="C619" s="90" t="n">
        <f aca="false">S619+((T619/2)-($T$1/2))</f>
        <v>0</v>
      </c>
      <c r="D619" s="122" t="n">
        <f aca="false">$D617+(2*$I$605)</f>
        <v>-18</v>
      </c>
      <c r="E619" s="48" t="n">
        <f aca="false">E618</f>
        <v>11.5</v>
      </c>
      <c r="F619" s="123" t="n">
        <f aca="false">F618</f>
        <v>-51</v>
      </c>
      <c r="G619" s="48" t="n">
        <f aca="false">E619</f>
        <v>11.5</v>
      </c>
    </row>
    <row r="620" customFormat="false" ht="15" hidden="false" customHeight="false" outlineLevel="0" collapsed="false">
      <c r="B620" s="4" t="s">
        <v>677</v>
      </c>
      <c r="C620" s="90" t="n">
        <f aca="false">S620+((T620/2)-($T$1/2))</f>
        <v>0</v>
      </c>
      <c r="D620" s="122" t="n">
        <f aca="false">$D617+(3*$I$605)</f>
        <v>-18</v>
      </c>
      <c r="E620" s="48" t="n">
        <f aca="false">E619</f>
        <v>11.5</v>
      </c>
      <c r="F620" s="123" t="n">
        <f aca="false">F619</f>
        <v>-51</v>
      </c>
      <c r="G620" s="48" t="n">
        <f aca="false">E620</f>
        <v>11.5</v>
      </c>
    </row>
    <row r="621" customFormat="false" ht="15" hidden="false" customHeight="false" outlineLevel="0" collapsed="false">
      <c r="B621" s="4" t="s">
        <v>678</v>
      </c>
      <c r="C621" s="90" t="n">
        <f aca="false">S621+((T621/2)-($T$1/2))</f>
        <v>0</v>
      </c>
      <c r="D621" s="122" t="n">
        <f aca="false">$D617+(4*$I$605)</f>
        <v>-18</v>
      </c>
      <c r="E621" s="48" t="n">
        <f aca="false">E620</f>
        <v>11.5</v>
      </c>
      <c r="F621" s="123" t="n">
        <f aca="false">F620</f>
        <v>-51</v>
      </c>
      <c r="G621" s="48" t="n">
        <f aca="false">E621</f>
        <v>11.5</v>
      </c>
    </row>
    <row r="622" customFormat="false" ht="15" hidden="false" customHeight="false" outlineLevel="0" collapsed="false">
      <c r="B622" s="4" t="s">
        <v>679</v>
      </c>
      <c r="C622" s="90" t="n">
        <f aca="false">S622+((T622/2)-($T$1/2))</f>
        <v>0</v>
      </c>
      <c r="D622" s="122" t="n">
        <f aca="false">$D617+(5*$I$605)</f>
        <v>-18</v>
      </c>
      <c r="E622" s="48" t="n">
        <f aca="false">E621</f>
        <v>11.5</v>
      </c>
      <c r="F622" s="123" t="n">
        <f aca="false">F621</f>
        <v>-51</v>
      </c>
      <c r="G622" s="48" t="n">
        <f aca="false">E622</f>
        <v>11.5</v>
      </c>
    </row>
    <row r="623" customFormat="false" ht="15" hidden="false" customHeight="false" outlineLevel="0" collapsed="false">
      <c r="B623" s="130" t="s">
        <v>680</v>
      </c>
      <c r="C623" s="48" t="n">
        <v>18.990539353629</v>
      </c>
      <c r="D623" s="48" t="n">
        <v>-51</v>
      </c>
      <c r="E623" s="48" t="n">
        <v>11.5</v>
      </c>
      <c r="F623" s="48" t="n">
        <v>-51</v>
      </c>
      <c r="G623" s="48" t="n">
        <f aca="false">E623</f>
        <v>11.5</v>
      </c>
    </row>
    <row r="625" customFormat="false" ht="15" hidden="false" customHeight="false" outlineLevel="0" collapsed="false">
      <c r="A625" s="115"/>
      <c r="B625" s="4" t="s">
        <v>681</v>
      </c>
      <c r="C625" s="90" t="n">
        <f aca="false">S625+((T625/2)-($T$1/2))</f>
        <v>0</v>
      </c>
      <c r="D625" s="122" t="n">
        <f aca="false">$D629-(4*$I$605)</f>
        <v>36</v>
      </c>
      <c r="E625" s="48" t="n">
        <f aca="false">E626</f>
        <v>10.7</v>
      </c>
      <c r="F625" s="123" t="n">
        <f aca="false">F626</f>
        <v>66</v>
      </c>
      <c r="G625" s="48" t="n">
        <f aca="false">E625</f>
        <v>10.7</v>
      </c>
    </row>
    <row r="626" customFormat="false" ht="15" hidden="false" customHeight="false" outlineLevel="0" collapsed="false">
      <c r="A626" s="115"/>
      <c r="B626" s="4" t="s">
        <v>682</v>
      </c>
      <c r="C626" s="90" t="n">
        <f aca="false">S626+((T626/2)-($T$1/2))</f>
        <v>0</v>
      </c>
      <c r="D626" s="122" t="n">
        <f aca="false">$D629-(3*$I$605)</f>
        <v>36</v>
      </c>
      <c r="E626" s="48" t="n">
        <f aca="false">E627</f>
        <v>10.7</v>
      </c>
      <c r="F626" s="123" t="n">
        <f aca="false">F627</f>
        <v>66</v>
      </c>
      <c r="G626" s="48" t="n">
        <f aca="false">E626</f>
        <v>10.7</v>
      </c>
    </row>
    <row r="627" customFormat="false" ht="15" hidden="false" customHeight="false" outlineLevel="0" collapsed="false">
      <c r="A627" s="115"/>
      <c r="B627" s="4" t="s">
        <v>683</v>
      </c>
      <c r="C627" s="90" t="n">
        <f aca="false">S627+((T627/2)-($T$1/2))</f>
        <v>0</v>
      </c>
      <c r="D627" s="122" t="n">
        <f aca="false">$D629-(2*$I$605)</f>
        <v>36</v>
      </c>
      <c r="E627" s="48" t="n">
        <f aca="false">E628</f>
        <v>10.7</v>
      </c>
      <c r="F627" s="123" t="n">
        <f aca="false">F628</f>
        <v>66</v>
      </c>
      <c r="G627" s="48" t="n">
        <f aca="false">E627</f>
        <v>10.7</v>
      </c>
    </row>
    <row r="628" customFormat="false" ht="15" hidden="false" customHeight="false" outlineLevel="0" collapsed="false">
      <c r="A628" s="115"/>
      <c r="B628" s="4" t="s">
        <v>684</v>
      </c>
      <c r="C628" s="90" t="n">
        <f aca="false">S628+((T628/2)-($T$1/2))</f>
        <v>0</v>
      </c>
      <c r="D628" s="122" t="n">
        <f aca="false">$D629-(1*$I$605)</f>
        <v>36</v>
      </c>
      <c r="E628" s="48" t="n">
        <f aca="false">E629</f>
        <v>10.7</v>
      </c>
      <c r="F628" s="123" t="n">
        <f aca="false">F629</f>
        <v>66</v>
      </c>
      <c r="G628" s="48" t="n">
        <f aca="false">E628</f>
        <v>10.7</v>
      </c>
    </row>
    <row r="629" customFormat="false" ht="15" hidden="false" customHeight="false" outlineLevel="0" collapsed="false">
      <c r="A629" s="124"/>
      <c r="B629" s="4" t="s">
        <v>685</v>
      </c>
      <c r="C629" s="126" t="n">
        <f aca="false">S629+((T629/2)-($T$1/2))</f>
        <v>0</v>
      </c>
      <c r="D629" s="127" t="n">
        <v>36</v>
      </c>
      <c r="E629" s="128" t="n">
        <v>10.7</v>
      </c>
      <c r="F629" s="123" t="n">
        <v>66</v>
      </c>
      <c r="G629" s="48" t="n">
        <f aca="false">E629</f>
        <v>10.7</v>
      </c>
    </row>
    <row r="630" customFormat="false" ht="15" hidden="false" customHeight="false" outlineLevel="0" collapsed="false">
      <c r="B630" s="4" t="s">
        <v>686</v>
      </c>
      <c r="C630" s="90" t="n">
        <f aca="false">S630+((T630/2)-($T$1/2))</f>
        <v>0</v>
      </c>
      <c r="D630" s="122" t="n">
        <f aca="false">$D629+(1*$I$605)</f>
        <v>36</v>
      </c>
      <c r="E630" s="48" t="n">
        <f aca="false">E629</f>
        <v>10.7</v>
      </c>
      <c r="F630" s="123" t="n">
        <f aca="false">F629</f>
        <v>66</v>
      </c>
      <c r="G630" s="48" t="n">
        <f aca="false">E630</f>
        <v>10.7</v>
      </c>
    </row>
    <row r="631" customFormat="false" ht="15" hidden="false" customHeight="false" outlineLevel="0" collapsed="false">
      <c r="B631" s="4" t="s">
        <v>687</v>
      </c>
      <c r="C631" s="90" t="n">
        <f aca="false">S631+((T631/2)-($T$1/2))</f>
        <v>0</v>
      </c>
      <c r="D631" s="122" t="n">
        <f aca="false">$D629+(2*$I$605)</f>
        <v>36</v>
      </c>
      <c r="E631" s="48" t="n">
        <f aca="false">E630</f>
        <v>10.7</v>
      </c>
      <c r="F631" s="123" t="n">
        <f aca="false">F630</f>
        <v>66</v>
      </c>
      <c r="G631" s="48" t="n">
        <f aca="false">E631</f>
        <v>10.7</v>
      </c>
    </row>
    <row r="632" customFormat="false" ht="15" hidden="false" customHeight="false" outlineLevel="0" collapsed="false">
      <c r="B632" s="4" t="s">
        <v>688</v>
      </c>
      <c r="C632" s="90" t="n">
        <f aca="false">S632+((T632/2)-($T$1/2))</f>
        <v>0</v>
      </c>
      <c r="D632" s="122" t="n">
        <f aca="false">$D629+(3*$I$605)</f>
        <v>36</v>
      </c>
      <c r="E632" s="48" t="n">
        <f aca="false">E631</f>
        <v>10.7</v>
      </c>
      <c r="F632" s="123" t="n">
        <f aca="false">F631</f>
        <v>66</v>
      </c>
      <c r="G632" s="48" t="n">
        <f aca="false">E632</f>
        <v>10.7</v>
      </c>
    </row>
    <row r="633" customFormat="false" ht="15" hidden="false" customHeight="false" outlineLevel="0" collapsed="false">
      <c r="B633" s="4" t="s">
        <v>689</v>
      </c>
      <c r="C633" s="90" t="n">
        <f aca="false">S633+((T633/2)-($T$1/2))</f>
        <v>0</v>
      </c>
      <c r="D633" s="122" t="n">
        <f aca="false">$D629+(4*$I$605)</f>
        <v>36</v>
      </c>
      <c r="E633" s="48" t="n">
        <f aca="false">E632</f>
        <v>10.7</v>
      </c>
      <c r="F633" s="123" t="n">
        <f aca="false">F632</f>
        <v>66</v>
      </c>
      <c r="G633" s="48" t="n">
        <f aca="false">E633</f>
        <v>10.7</v>
      </c>
    </row>
    <row r="634" customFormat="false" ht="15" hidden="false" customHeight="false" outlineLevel="0" collapsed="false">
      <c r="B634" s="4" t="s">
        <v>690</v>
      </c>
      <c r="C634" s="90" t="n">
        <f aca="false">S634+((T634/2)-($T$1/2))</f>
        <v>0</v>
      </c>
      <c r="D634" s="122" t="n">
        <f aca="false">$D629+(5*$I$605)</f>
        <v>36</v>
      </c>
      <c r="E634" s="48" t="n">
        <f aca="false">E633</f>
        <v>10.7</v>
      </c>
      <c r="F634" s="123" t="n">
        <f aca="false">F633</f>
        <v>66</v>
      </c>
      <c r="G634" s="48" t="n">
        <f aca="false">E634</f>
        <v>10.7</v>
      </c>
    </row>
    <row r="635" customFormat="false" ht="15" hidden="false" customHeight="false" outlineLevel="0" collapsed="false">
      <c r="B635" s="130" t="s">
        <v>691</v>
      </c>
      <c r="C635" s="48" t="n">
        <v>18.990539353629</v>
      </c>
      <c r="D635" s="48" t="n">
        <v>66</v>
      </c>
      <c r="E635" s="48" t="n">
        <v>10.7</v>
      </c>
      <c r="F635" s="48" t="n">
        <v>66</v>
      </c>
      <c r="G635" s="48" t="n">
        <f aca="false">E635</f>
        <v>10.7</v>
      </c>
    </row>
    <row r="637" customFormat="false" ht="15" hidden="false" customHeight="false" outlineLevel="0" collapsed="false">
      <c r="A637" s="115"/>
      <c r="B637" s="89" t="s">
        <v>692</v>
      </c>
      <c r="C637" s="116" t="n">
        <v>13</v>
      </c>
      <c r="D637" s="48" t="n">
        <v>-14.82</v>
      </c>
      <c r="E637" s="48" t="n">
        <v>29.48</v>
      </c>
      <c r="F637" s="48" t="n">
        <v>-60</v>
      </c>
      <c r="G637" s="48" t="n">
        <f aca="false">E637</f>
        <v>29.48</v>
      </c>
    </row>
    <row r="638" customFormat="false" ht="15" hidden="false" customHeight="false" outlineLevel="0" collapsed="false">
      <c r="B638" s="89" t="s">
        <v>693</v>
      </c>
      <c r="C638" s="117" t="n">
        <v>13.2</v>
      </c>
      <c r="D638" s="48" t="n">
        <v>3.25</v>
      </c>
      <c r="E638" s="48" t="n">
        <v>29.44</v>
      </c>
      <c r="F638" s="48" t="n">
        <f aca="false">F637</f>
        <v>-60</v>
      </c>
      <c r="G638" s="48" t="n">
        <f aca="false">E638</f>
        <v>29.44</v>
      </c>
    </row>
    <row r="639" customFormat="false" ht="15" hidden="false" customHeight="false" outlineLevel="0" collapsed="false">
      <c r="B639" s="89" t="s">
        <v>694</v>
      </c>
      <c r="C639" s="117" t="n">
        <v>13.1</v>
      </c>
      <c r="D639" s="48" t="n">
        <v>-5.82</v>
      </c>
      <c r="E639" s="48" t="n">
        <v>34.56</v>
      </c>
      <c r="F639" s="48" t="n">
        <f aca="false">F638</f>
        <v>-60</v>
      </c>
      <c r="G639" s="48" t="n">
        <f aca="false">E639</f>
        <v>34.56</v>
      </c>
    </row>
    <row r="640" customFormat="false" ht="15" hidden="false" customHeight="false" outlineLevel="0" collapsed="false">
      <c r="B640" s="89" t="s">
        <v>235</v>
      </c>
      <c r="C640" s="118" t="n">
        <f aca="false">C639+((C638-C639)/2)</f>
        <v>13.15</v>
      </c>
      <c r="D640" s="48" t="n">
        <v>-60</v>
      </c>
      <c r="E640" s="48" t="n">
        <v>29.44</v>
      </c>
      <c r="F640" s="48" t="n">
        <f aca="false">F639</f>
        <v>-60</v>
      </c>
      <c r="G640" s="48" t="n">
        <f aca="false">E640</f>
        <v>29.44</v>
      </c>
    </row>
    <row r="642" customFormat="false" ht="15" hidden="false" customHeight="false" outlineLevel="0" collapsed="false">
      <c r="B642" s="89" t="s">
        <v>695</v>
      </c>
      <c r="C642" s="48" t="n">
        <f aca="false">4.2</f>
        <v>4.2</v>
      </c>
      <c r="D642" s="48" t="n">
        <v>-11.91</v>
      </c>
      <c r="E642" s="48" t="n">
        <v>4.41</v>
      </c>
      <c r="F642" s="48" t="n">
        <f aca="false">D642+60</f>
        <v>48.09</v>
      </c>
      <c r="G642" s="48" t="n">
        <f aca="false">E642</f>
        <v>4.41</v>
      </c>
    </row>
    <row r="643" customFormat="false" ht="15" hidden="false" customHeight="false" outlineLevel="0" collapsed="false">
      <c r="B643" s="89" t="s">
        <v>696</v>
      </c>
      <c r="C643" s="48" t="n">
        <f aca="false">4.2</f>
        <v>4.2</v>
      </c>
      <c r="D643" s="48" t="n">
        <f aca="false">F642</f>
        <v>48.09</v>
      </c>
      <c r="E643" s="48" t="n">
        <f aca="false">E642</f>
        <v>4.41</v>
      </c>
      <c r="F643" s="48" t="n">
        <f aca="false">F642</f>
        <v>48.09</v>
      </c>
      <c r="G643" s="48" t="n">
        <f aca="false">E643</f>
        <v>4.41</v>
      </c>
    </row>
    <row r="645" customFormat="false" ht="15" hidden="false" customHeight="false" outlineLevel="0" collapsed="false">
      <c r="B645" s="89" t="s">
        <v>697</v>
      </c>
      <c r="C645" s="48" t="n">
        <f aca="false">4.2</f>
        <v>4.2</v>
      </c>
      <c r="D645" s="48" t="n">
        <v>-10.926</v>
      </c>
      <c r="E645" s="48" t="n">
        <v>3.61</v>
      </c>
      <c r="F645" s="48" t="n">
        <v>48.09</v>
      </c>
      <c r="G645" s="48" t="n">
        <f aca="false">E645</f>
        <v>3.61</v>
      </c>
    </row>
    <row r="646" customFormat="false" ht="15" hidden="false" customHeight="false" outlineLevel="0" collapsed="false">
      <c r="B646" s="89" t="s">
        <v>698</v>
      </c>
      <c r="C646" s="48" t="n">
        <f aca="false">4.2</f>
        <v>4.2</v>
      </c>
      <c r="D646" s="48" t="n">
        <v>48.09</v>
      </c>
      <c r="E646" s="48" t="n">
        <f aca="false">E645</f>
        <v>3.61</v>
      </c>
      <c r="F646" s="48" t="n">
        <f aca="false">F645</f>
        <v>48.09</v>
      </c>
      <c r="G646" s="48" t="n">
        <f aca="false">G645</f>
        <v>3.61</v>
      </c>
    </row>
    <row r="648" customFormat="false" ht="15" hidden="false" customHeight="false" outlineLevel="0" collapsed="false">
      <c r="C648" s="54" t="s">
        <v>99</v>
      </c>
      <c r="D648" s="55" t="s">
        <v>100</v>
      </c>
      <c r="E648" s="55" t="s">
        <v>101</v>
      </c>
      <c r="F648" s="55" t="s">
        <v>100</v>
      </c>
      <c r="G648" s="55" t="s">
        <v>101</v>
      </c>
    </row>
    <row r="649" customFormat="false" ht="15" hidden="false" customHeight="false" outlineLevel="0" collapsed="false">
      <c r="B649" s="133" t="s">
        <v>699</v>
      </c>
      <c r="C649" s="90" t="n">
        <f aca="false">C650</f>
        <v>0</v>
      </c>
      <c r="D649" s="134" t="n">
        <f aca="false">D650-1*32</f>
        <v>-101.3141</v>
      </c>
      <c r="E649" s="134"/>
      <c r="F649" s="134" t="n">
        <v>70</v>
      </c>
      <c r="G649" s="134"/>
      <c r="H649" s="133" t="n">
        <v>3.5</v>
      </c>
      <c r="I649" s="133" t="n">
        <v>45</v>
      </c>
      <c r="J649" s="133" t="n">
        <v>0</v>
      </c>
      <c r="K649" s="133" t="n">
        <v>0</v>
      </c>
    </row>
    <row r="650" customFormat="false" ht="15" hidden="false" customHeight="false" outlineLevel="0" collapsed="false">
      <c r="B650" s="4" t="s">
        <v>700</v>
      </c>
      <c r="C650" s="90" t="n">
        <f aca="false">C651</f>
        <v>0</v>
      </c>
      <c r="D650" s="48" t="n">
        <f aca="false">D651-1*32</f>
        <v>-69.3141</v>
      </c>
      <c r="F650" s="48" t="n">
        <v>70</v>
      </c>
      <c r="H650" s="135" t="n">
        <v>3.5</v>
      </c>
      <c r="I650" s="24" t="n">
        <v>45</v>
      </c>
      <c r="J650" s="135" t="n">
        <v>0</v>
      </c>
      <c r="K650" s="24" t="n">
        <v>0</v>
      </c>
    </row>
    <row r="651" customFormat="false" ht="15" hidden="false" customHeight="false" outlineLevel="0" collapsed="false">
      <c r="B651" s="130" t="s">
        <v>701</v>
      </c>
      <c r="C651" s="90" t="n">
        <f aca="false">C652</f>
        <v>0</v>
      </c>
      <c r="D651" s="136" t="n">
        <v>-37.3141</v>
      </c>
      <c r="F651" s="48" t="n">
        <v>70</v>
      </c>
      <c r="H651" s="24" t="n">
        <v>3.5</v>
      </c>
      <c r="I651" s="24" t="n">
        <v>45</v>
      </c>
      <c r="J651" s="24" t="n">
        <v>0</v>
      </c>
      <c r="K651" s="24" t="n">
        <v>0</v>
      </c>
    </row>
    <row r="652" customFormat="false" ht="15" hidden="false" customHeight="false" outlineLevel="0" collapsed="false">
      <c r="B652" s="4" t="s">
        <v>702</v>
      </c>
      <c r="C652" s="90" t="n">
        <f aca="false">C653</f>
        <v>0</v>
      </c>
      <c r="D652" s="48" t="n">
        <f aca="false">D651+1*32</f>
        <v>-5.3141</v>
      </c>
      <c r="F652" s="48" t="n">
        <v>70</v>
      </c>
      <c r="H652" s="24" t="n">
        <v>3.5</v>
      </c>
      <c r="I652" s="24" t="n">
        <v>45</v>
      </c>
      <c r="J652" s="24" t="n">
        <v>0</v>
      </c>
      <c r="K652" s="24" t="n">
        <v>0</v>
      </c>
    </row>
    <row r="653" customFormat="false" ht="15" hidden="false" customHeight="false" outlineLevel="0" collapsed="false">
      <c r="B653" s="137" t="s">
        <v>703</v>
      </c>
      <c r="C653" s="90" t="n">
        <f aca="false">C654</f>
        <v>0</v>
      </c>
      <c r="D653" s="48" t="n">
        <f aca="false">D652+1*32</f>
        <v>26.6859</v>
      </c>
      <c r="F653" s="48" t="n">
        <v>70</v>
      </c>
      <c r="H653" s="24" t="n">
        <v>3.5</v>
      </c>
      <c r="I653" s="24" t="n">
        <v>45</v>
      </c>
      <c r="J653" s="24" t="n">
        <v>0</v>
      </c>
      <c r="K653" s="24" t="n">
        <v>0</v>
      </c>
    </row>
    <row r="654" customFormat="false" ht="15" hidden="false" customHeight="false" outlineLevel="0" collapsed="false">
      <c r="B654" s="4" t="s">
        <v>704</v>
      </c>
      <c r="C654" s="48" t="n">
        <v>0</v>
      </c>
      <c r="D654" s="48" t="n">
        <v>70</v>
      </c>
      <c r="F654" s="48" t="n">
        <v>70</v>
      </c>
      <c r="H654" s="24" t="n">
        <v>3.5</v>
      </c>
      <c r="I654" s="24" t="n">
        <v>45</v>
      </c>
      <c r="J654" s="24" t="n">
        <v>0</v>
      </c>
      <c r="K654" s="24" t="n">
        <v>0</v>
      </c>
    </row>
    <row r="656" customFormat="false" ht="15" hidden="false" customHeight="false" outlineLevel="0" collapsed="false">
      <c r="A656" s="115"/>
      <c r="B656" s="89" t="s">
        <v>705</v>
      </c>
      <c r="C656" s="116" t="n">
        <v>13</v>
      </c>
      <c r="D656" s="48" t="n">
        <v>-20.7</v>
      </c>
      <c r="E656" s="48" t="n">
        <v>26.77</v>
      </c>
      <c r="F656" s="48" t="n">
        <v>-60</v>
      </c>
      <c r="G656" s="48" t="n">
        <f aca="false">E656</f>
        <v>26.77</v>
      </c>
    </row>
    <row r="657" customFormat="false" ht="15" hidden="false" customHeight="false" outlineLevel="0" collapsed="false">
      <c r="B657" s="89" t="s">
        <v>706</v>
      </c>
      <c r="C657" s="117" t="n">
        <v>13.2</v>
      </c>
      <c r="D657" s="48" t="n">
        <v>-2.7</v>
      </c>
      <c r="E657" s="48" t="n">
        <v>26.77</v>
      </c>
      <c r="F657" s="48" t="n">
        <f aca="false">F656</f>
        <v>-60</v>
      </c>
      <c r="G657" s="48" t="n">
        <f aca="false">E657</f>
        <v>26.77</v>
      </c>
    </row>
    <row r="658" customFormat="false" ht="15" hidden="false" customHeight="false" outlineLevel="0" collapsed="false">
      <c r="B658" s="89" t="s">
        <v>707</v>
      </c>
      <c r="C658" s="117" t="n">
        <v>13.1</v>
      </c>
      <c r="D658" s="48" t="n">
        <v>-11.7</v>
      </c>
      <c r="E658" s="48" t="n">
        <v>31.8</v>
      </c>
      <c r="F658" s="48" t="n">
        <f aca="false">F657</f>
        <v>-60</v>
      </c>
      <c r="G658" s="48" t="n">
        <f aca="false">E658</f>
        <v>31.8</v>
      </c>
    </row>
    <row r="659" customFormat="false" ht="15" hidden="false" customHeight="false" outlineLevel="0" collapsed="false">
      <c r="B659" s="89" t="s">
        <v>708</v>
      </c>
      <c r="C659" s="118" t="n">
        <f aca="false">C658+((C657-C658)/2)</f>
        <v>13.15</v>
      </c>
      <c r="D659" s="48" t="n">
        <v>-60</v>
      </c>
      <c r="E659" s="48" t="n">
        <v>26.77</v>
      </c>
      <c r="F659" s="48" t="n">
        <f aca="false">F658</f>
        <v>-60</v>
      </c>
      <c r="G659" s="48" t="n">
        <f aca="false">E659</f>
        <v>26.77</v>
      </c>
    </row>
  </sheetData>
  <mergeCells count="12">
    <mergeCell ref="A6:A21"/>
    <mergeCell ref="A24:A39"/>
    <mergeCell ref="A42:A57"/>
    <mergeCell ref="A69:A84"/>
    <mergeCell ref="A87:A102"/>
    <mergeCell ref="A105:A120"/>
    <mergeCell ref="A135:A150"/>
    <mergeCell ref="A153:A168"/>
    <mergeCell ref="A171:A186"/>
    <mergeCell ref="A198:A213"/>
    <mergeCell ref="A216:A231"/>
    <mergeCell ref="A234:A2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239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2024-11-30T08:02:18Z</dcterms:created>
  <dc:creator>Pauw, Brian Richard</dc:creator>
  <dc:description/>
  <dc:language>en-US</dc:language>
  <cp:lastModifiedBy/>
  <dcterms:modified xsi:type="dcterms:W3CDTF">2026-03-03T18:03:44Z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